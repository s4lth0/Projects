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ntuedu-my.sharepoint.com/personal/elij0005_e_ntu_edu_sg/Documents/"/>
    </mc:Choice>
  </mc:AlternateContent>
  <xr:revisionPtr revIDLastSave="0" documentId="8_{CBFCE42E-6466-413B-B9E9-E2959E2A6AF4}" xr6:coauthVersionLast="47" xr6:coauthVersionMax="47" xr10:uidLastSave="{00000000-0000-0000-0000-000000000000}"/>
  <bookViews>
    <workbookView minimized="1" xWindow="2453" yWindow="2453" windowWidth="16200" windowHeight="9982" firstSheet="1" activeTab="1" xr2:uid="{91A2D32E-7D74-470F-A669-C945EAAACAC6}"/>
  </bookViews>
  <sheets>
    <sheet name="For Pearsons R" sheetId="2" r:id="rId1"/>
    <sheet name="2007-2008" sheetId="1" r:id="rId2"/>
  </sheet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J2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H2" i="1" a="1"/>
  <c r="C2" i="1" a="1"/>
  <c r="B2" i="1" a="1"/>
  <c r="H2" i="1" l="1"/>
  <c r="I2" i="1" s="1"/>
  <c r="C2" i="1"/>
  <c r="B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0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</futureMetadata>
  <cellMetadata count="1">
    <bk>
      <rc t="1" v="0"/>
    </bk>
  </cellMetadata>
  <valueMetadata count="20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</valueMetadata>
</metadata>
</file>

<file path=xl/sharedStrings.xml><?xml version="1.0" encoding="utf-8"?>
<sst xmlns="http://schemas.openxmlformats.org/spreadsheetml/2006/main" count="152" uniqueCount="145">
  <si>
    <t>Date</t>
  </si>
  <si>
    <t>VNQ (closing)</t>
  </si>
  <si>
    <t>SPY (closing)</t>
  </si>
  <si>
    <t>Includes data from 2007-2008 and 2019-2020</t>
  </si>
  <si>
    <t>Close</t>
  </si>
  <si>
    <t>(raw)</t>
  </si>
  <si>
    <t>Pearsons R for 2007-2008</t>
  </si>
  <si>
    <t>Pearsons R for 2019-2020</t>
  </si>
  <si>
    <t>15/1/07</t>
  </si>
  <si>
    <t>Pearsons R for both time frames</t>
  </si>
  <si>
    <t>22/1/07</t>
  </si>
  <si>
    <t>29/1/07</t>
  </si>
  <si>
    <t>(transformed to uniform)</t>
  </si>
  <si>
    <t>19/2/07</t>
  </si>
  <si>
    <t>26/2/07</t>
  </si>
  <si>
    <t>19/3/07</t>
  </si>
  <si>
    <t>26/3/07</t>
  </si>
  <si>
    <t>16/4/07</t>
  </si>
  <si>
    <t>23/4/07</t>
  </si>
  <si>
    <t>30/4/07</t>
  </si>
  <si>
    <t>14/5/07</t>
  </si>
  <si>
    <t>21/5/07</t>
  </si>
  <si>
    <t>28/5/07</t>
  </si>
  <si>
    <t>18/6/07</t>
  </si>
  <si>
    <t>25/6/07</t>
  </si>
  <si>
    <t>16/7/07</t>
  </si>
  <si>
    <t>23/7/07</t>
  </si>
  <si>
    <t>30/7/07</t>
  </si>
  <si>
    <t>13/8/07</t>
  </si>
  <si>
    <t>20/8/07</t>
  </si>
  <si>
    <t>27/8/07</t>
  </si>
  <si>
    <t>17/9/07</t>
  </si>
  <si>
    <t>24/9/07</t>
  </si>
  <si>
    <t>15/10/07</t>
  </si>
  <si>
    <t>22/10/07</t>
  </si>
  <si>
    <t>29/10/07</t>
  </si>
  <si>
    <t>19/11/07</t>
  </si>
  <si>
    <t>26/11/07</t>
  </si>
  <si>
    <t>17/12/07</t>
  </si>
  <si>
    <t>24/12/07</t>
  </si>
  <si>
    <t>31/12/07</t>
  </si>
  <si>
    <t>14/1/08</t>
  </si>
  <si>
    <t>21/1/08</t>
  </si>
  <si>
    <t>28/1/08</t>
  </si>
  <si>
    <t>18/2/08</t>
  </si>
  <si>
    <t>25/2/08</t>
  </si>
  <si>
    <t>17/3/08</t>
  </si>
  <si>
    <t>24/3/08</t>
  </si>
  <si>
    <t>31/3/08</t>
  </si>
  <si>
    <t>14/4/08</t>
  </si>
  <si>
    <t>21/4/08</t>
  </si>
  <si>
    <t>28/4/08</t>
  </si>
  <si>
    <t>19/5/08</t>
  </si>
  <si>
    <t>26/5/08</t>
  </si>
  <si>
    <t>16/6/08</t>
  </si>
  <si>
    <t>23/6/08</t>
  </si>
  <si>
    <t>30/6/08</t>
  </si>
  <si>
    <t>14/7/08</t>
  </si>
  <si>
    <t>21/7/08</t>
  </si>
  <si>
    <t>28/7/08</t>
  </si>
  <si>
    <t>18/8/08</t>
  </si>
  <si>
    <t>25/8/08</t>
  </si>
  <si>
    <t>15/9/08</t>
  </si>
  <si>
    <t>22/9/08</t>
  </si>
  <si>
    <t>29/9/08</t>
  </si>
  <si>
    <t>13/10/08</t>
  </si>
  <si>
    <t>20/10/08</t>
  </si>
  <si>
    <t>27/10/08</t>
  </si>
  <si>
    <t>17/11/08</t>
  </si>
  <si>
    <t>24/11/08</t>
  </si>
  <si>
    <t>15/12/08</t>
  </si>
  <si>
    <t>22/12/08</t>
  </si>
  <si>
    <t>29/12/08</t>
  </si>
  <si>
    <t>15/1/19</t>
  </si>
  <si>
    <t>22/1/19</t>
  </si>
  <si>
    <t>29/1/19</t>
  </si>
  <si>
    <t>19/2/19</t>
  </si>
  <si>
    <t>26/2/19</t>
  </si>
  <si>
    <t>19/3/19</t>
  </si>
  <si>
    <t>26/3/19</t>
  </si>
  <si>
    <t>16/4/19</t>
  </si>
  <si>
    <t>23/4/19</t>
  </si>
  <si>
    <t>30/4/19</t>
  </si>
  <si>
    <t>14/5/19</t>
  </si>
  <si>
    <t>21/5/19</t>
  </si>
  <si>
    <t>28/5/19</t>
  </si>
  <si>
    <t>18/6/19</t>
  </si>
  <si>
    <t>25/6/19</t>
  </si>
  <si>
    <t>16/7/19</t>
  </si>
  <si>
    <t>23/7/19</t>
  </si>
  <si>
    <t>30/7/19</t>
  </si>
  <si>
    <t>13/8/19</t>
  </si>
  <si>
    <t>20/8/19</t>
  </si>
  <si>
    <t>27/8/19</t>
  </si>
  <si>
    <t>17/9/19</t>
  </si>
  <si>
    <t>24/9/19</t>
  </si>
  <si>
    <t>15/10/19</t>
  </si>
  <si>
    <t>22/10/19</t>
  </si>
  <si>
    <t>29/10/19</t>
  </si>
  <si>
    <t>19/11/19</t>
  </si>
  <si>
    <t>26/11/19</t>
  </si>
  <si>
    <t>17/12/19</t>
  </si>
  <si>
    <t>24/12/19</t>
  </si>
  <si>
    <t>31/12/19</t>
  </si>
  <si>
    <t>14/1/20</t>
  </si>
  <si>
    <t>21/1/20</t>
  </si>
  <si>
    <t>28/1/20</t>
  </si>
  <si>
    <t>18/2/20</t>
  </si>
  <si>
    <t>25/2/20</t>
  </si>
  <si>
    <t>17/3/20</t>
  </si>
  <si>
    <t>24/3/20</t>
  </si>
  <si>
    <t>31/3/20</t>
  </si>
  <si>
    <t>14/4/20</t>
  </si>
  <si>
    <t>21/4/20</t>
  </si>
  <si>
    <t>28/4/20</t>
  </si>
  <si>
    <t>19/5/20</t>
  </si>
  <si>
    <t>26/5/20</t>
  </si>
  <si>
    <t>16/6/20</t>
  </si>
  <si>
    <t>23/6/20</t>
  </si>
  <si>
    <t>30/6/20</t>
  </si>
  <si>
    <t>14/7/20</t>
  </si>
  <si>
    <t>21/7/20</t>
  </si>
  <si>
    <t>28/7/20</t>
  </si>
  <si>
    <t>18/8/20</t>
  </si>
  <si>
    <t>25/8/20</t>
  </si>
  <si>
    <t>15/9/20</t>
  </si>
  <si>
    <t>22/9/20</t>
  </si>
  <si>
    <t>29/9/20</t>
  </si>
  <si>
    <t>13/10/20</t>
  </si>
  <si>
    <t>20/10/20</t>
  </si>
  <si>
    <t>27/10/20</t>
  </si>
  <si>
    <t>17/11/20</t>
  </si>
  <si>
    <t>24/11/20</t>
  </si>
  <si>
    <t>15/12/20</t>
  </si>
  <si>
    <t>22/12/20</t>
  </si>
  <si>
    <t>29/12/20</t>
  </si>
  <si>
    <t>VNQ %</t>
  </si>
  <si>
    <t>SPY %</t>
  </si>
  <si>
    <t>VNQ rank</t>
  </si>
  <si>
    <t>SPY rank</t>
  </si>
  <si>
    <t>Tau</t>
  </si>
  <si>
    <t>Pearson Approx</t>
  </si>
  <si>
    <t>Pearson Actual</t>
  </si>
  <si>
    <t>t-value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</si>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</sst>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2">
    <font>
      <sz val="11"/>
      <color theme="1"/>
      <name val="Aptos Narrow"/>
      <family val="2"/>
      <scheme val="minor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4" fontId="1" fillId="0" borderId="0" xfId="0" applyNumberFormat="1" applyFont="1"/>
    <xf numFmtId="8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2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352425</xdr:colOff>
      <xdr:row>0</xdr:row>
      <xdr:rowOff>0</xdr:rowOff>
    </xdr:from>
    <xdr:to>
      <xdr:col>27</xdr:col>
      <xdr:colOff>76927</xdr:colOff>
      <xdr:row>24</xdr:row>
      <xdr:rowOff>10164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29F482-F727-9D5B-130E-016A92FB0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4950" y="0"/>
          <a:ext cx="5210902" cy="4582164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06">
  <rv s="0">
    <fb>75.790000000000006</fb>
    <v>0</v>
  </rv>
  <rv s="0">
    <fb>140.54</fb>
    <v>0</v>
  </rv>
  <rv s="0">
    <fb>79.11</fb>
    <v>0</v>
  </rv>
  <rv s="0">
    <fb>143.24</fb>
    <v>0</v>
  </rv>
  <rv s="0">
    <fb>80.900000000000006</fb>
    <v>0</v>
  </rv>
  <rv s="0">
    <fb>142.82</fb>
    <v>0</v>
  </rv>
  <rv s="0">
    <fb>82.42</fb>
    <v>0</v>
  </rv>
  <rv s="0">
    <fb>142.16</fb>
    <v>0</v>
  </rv>
  <rv s="0">
    <fb>84.24</fb>
    <v>0</v>
  </rv>
  <rv s="0">
    <fb>144.81</fb>
    <v>0</v>
  </rv>
  <rv s="0">
    <fb>85.6</fb>
    <v>0</v>
  </rv>
  <rv s="0">
    <fb>143.94</fb>
    <v>0</v>
  </rv>
  <rv s="0">
    <fb>85.48</fb>
    <v>0</v>
  </rv>
  <rv s="0">
    <fb>145.72999999999999</fb>
    <v>0</v>
  </rv>
  <rv s="0">
    <fb>83.91</fb>
    <v>0</v>
  </rv>
  <rv s="0">
    <fb>145.30000000000001</fb>
    <v>0</v>
  </rv>
  <rv s="0">
    <fb>79.400000000000006</fb>
    <v>0</v>
  </rv>
  <rv s="0">
    <fb>138.66999999999999</fb>
    <v>0</v>
  </rv>
  <rv s="0">
    <fb>80.3</fb>
    <v>0</v>
  </rv>
  <rv s="0">
    <fb>140.78</fb>
    <v>0</v>
  </rv>
  <rv s="0">
    <fb>79</fb>
    <v>0</v>
  </rv>
  <rv s="0">
    <fb>138.53</fb>
    <v>0</v>
  </rv>
  <rv s="0">
    <fb>81.209999999999994</fb>
    <v>0</v>
  </rv>
  <rv s="0">
    <fb>143.38999999999999</fb>
    <v>0</v>
  </rv>
  <rv s="0">
    <fb>79.349999999999994</fb>
    <v>0</v>
  </rv>
  <rv s="0">
    <fb>142</fb>
    <v>0</v>
  </rv>
  <rv s="0">
    <fb>80.069999999999993</fb>
    <v>0</v>
  </rv>
  <rv s="0">
    <fb>144.24</fb>
    <v>0</v>
  </rv>
  <rv s="0">
    <fb>79.7</fb>
    <v>0</v>
  </rv>
  <rv s="0">
    <fb>145.32</fb>
    <v>0</v>
  </rv>
  <rv s="0">
    <fb>80.400000000000006</fb>
    <v>0</v>
  </rv>
  <rv s="0">
    <fb>148.62</fb>
    <v>0</v>
  </rv>
  <rv s="0">
    <fb>80.55</fb>
    <v>0</v>
  </rv>
  <rv s="0">
    <fb>149.53</fb>
    <v>0</v>
  </rv>
  <rv s="0">
    <fb>78.7</fb>
    <v>0</v>
  </rv>
  <rv s="0">
    <fb>150.91999999999999</fb>
    <v>0</v>
  </rv>
  <rv s="0">
    <fb>79.25</fb>
    <v>0</v>
  </rv>
  <rv s="0">
    <fb>150.86000000000001</fb>
    <v>0</v>
  </rv>
  <rv s="0">
    <fb>74.55</fb>
    <v>0</v>
  </rv>
  <rv s="0">
    <fb>152.62</fb>
    <v>0</v>
  </rv>
  <rv s="0">
    <fb>74.540000000000006</fb>
    <v>0</v>
  </rv>
  <rv s="0">
    <fb>151.69</fb>
    <v>0</v>
  </rv>
  <rv s="0">
    <fb>79.06</fb>
    <v>0</v>
  </rv>
  <rv s="0">
    <fb>154.08000000000001</fb>
    <v>0</v>
  </rv>
  <rv s="0">
    <fb>76.05</fb>
    <v>0</v>
  </rv>
  <rv s="0">
    <fb>151.04</fb>
    <v>0</v>
  </rv>
  <rv s="0">
    <fb>75.25</fb>
    <v>0</v>
  </rv>
  <rv s="0">
    <fb>153.07</fb>
    <v>0</v>
  </rv>
  <rv s="0">
    <fb>72.13</fb>
    <v>0</v>
  </rv>
  <rv s="0">
    <fb>150.55000000000001</fb>
    <v>0</v>
  </rv>
  <rv s="0">
    <fb>70.95</fb>
    <v>0</v>
  </rv>
  <rv s="0">
    <fb>150.43</fb>
    <v>0</v>
  </rv>
  <rv s="0">
    <fb>73.39</fb>
    <v>0</v>
  </rv>
  <rv s="0">
    <fb>152.97999999999999</fb>
    <v>0</v>
  </rv>
  <rv s="0">
    <fb>72.95</fb>
    <v>0</v>
  </rv>
  <rv s="0">
    <fb>154.85</fb>
    <v>0</v>
  </rv>
  <rv s="0">
    <fb>70.930000000000007</fb>
    <v>0</v>
  </rv>
  <rv s="0">
    <fb>153.5</fb>
    <v>0</v>
  </rv>
  <rv s="0">
    <fb>64.11</fb>
    <v>0</v>
  </rv>
  <rv s="0">
    <fb>145.11000000000001</fb>
    <v>0</v>
  </rv>
  <rv s="0">
    <fb>64.45</fb>
    <v>0</v>
  </rv>
  <rv s="0">
    <fb>143.80000000000001</fb>
    <v>0</v>
  </rv>
  <rv s="0">
    <fb>66.87</fb>
    <v>0</v>
  </rv>
  <rv s="0">
    <fb>144.71</fb>
    <v>0</v>
  </rv>
  <rv s="0">
    <fb>67.599999999999994</fb>
    <v>0</v>
  </rv>
  <rv s="0">
    <fb>69.17</fb>
    <v>0</v>
  </rv>
  <rv s="0">
    <fb>148.33000000000001</fb>
    <v>0</v>
  </rv>
  <rv s="0">
    <fb>69.48</fb>
    <v>0</v>
  </rv>
  <rv s="0">
    <fb>147.59</fb>
    <v>0</v>
  </rv>
  <rv s="0">
    <fb>67.650000000000006</fb>
    <v>0</v>
  </rv>
  <rv s="0">
    <fb>146.07</fb>
    <v>0</v>
  </rv>
  <rv s="0">
    <fb>69.92</fb>
    <v>0</v>
  </rv>
  <rv s="0">
    <fb>148.9</fb>
    <v>0</v>
  </rv>
  <rv s="0">
    <fb>71.84</fb>
    <v>0</v>
  </rv>
  <rv s="0">
    <fb>151.97</fb>
    <v>0</v>
  </rv>
  <rv s="0">
    <fb>71.459999999999994</fb>
    <v>0</v>
  </rv>
  <rv s="0">
    <fb>152.58000000000001</fb>
    <v>0</v>
  </rv>
  <rv s="0">
    <fb>76.69</fb>
    <v>0</v>
  </rv>
  <rv s="0">
    <fb>155.85</fb>
    <v>0</v>
  </rv>
  <rv s="0">
    <fb>156.33000000000001</fb>
    <v>0</v>
  </rv>
  <rv s="0">
    <fb>69.09</fb>
    <v>0</v>
  </rv>
  <rv s="0">
    <fb>149.66999999999999</fb>
    <v>0</v>
  </rv>
  <rv s="0">
    <fb>71.67</fb>
    <v>0</v>
  </rv>
  <rv s="0">
    <fb>153.62</fb>
    <v>0</v>
  </rv>
  <rv s="0">
    <fb>68.56</fb>
    <v>0</v>
  </rv>
  <rv s="0">
    <fb>151.19999999999999</fb>
    <v>0</v>
  </rv>
  <rv s="0">
    <fb>65.95</fb>
    <v>0</v>
  </rv>
  <rv s="0">
    <fb>145.13999999999999</fb>
    <v>0</v>
  </rv>
  <rv s="0">
    <fb>66.14</fb>
    <v>0</v>
  </rv>
  <rv s="0">
    <fb>145.79</fb>
    <v>0</v>
  </rv>
  <rv s="0">
    <fb>64.25</fb>
    <v>0</v>
  </rv>
  <rv s="0">
    <fb>144.13</fb>
    <v>0</v>
  </rv>
  <rv s="0">
    <fb>66.05</fb>
    <v>0</v>
  </rv>
  <rv s="0">
    <fb>148.66</fb>
    <v>0</v>
  </rv>
  <rv s="0">
    <fb>67.569999999999993</fb>
    <v>0</v>
  </rv>
  <rv s="0">
    <fb>150.91</fb>
    <v>0</v>
  </rv>
  <rv s="0">
    <fb>62.8</fb>
    <v>0</v>
  </rv>
  <rv s="0">
    <fb>147.16999999999999</fb>
    <v>0</v>
  </rv>
  <rv s="0">
    <fb>62.36</fb>
    <v>0</v>
  </rv>
  <rv s="0">
    <fb>148.13</fb>
    <v>0</v>
  </rv>
  <rv s="0">
    <fb>60.96</fb>
    <v>0</v>
  </rv>
  <rv s="0">
    <fb>147.30000000000001</fb>
    <v>0</v>
  </rv>
  <rv s="0">
    <fb>56.95</fb>
    <v>0</v>
  </rv>
  <rv s="0">
    <fb>141.31</fb>
    <v>0</v>
  </rv>
  <rv s="0">
    <fb>57.35</fb>
    <v>0</v>
  </rv>
  <rv s="0">
    <fb>140.15</fb>
    <v>0</v>
  </rv>
  <rv s="0">
    <fb>55.08</fb>
    <v>0</v>
  </rv>
  <rv s="0">
    <fb>132.06</fb>
    <v>0</v>
  </rv>
  <rv s="0">
    <fb>59.9499</fb>
    <v>0</v>
  </rv>
  <rv s="0">
    <fb>133.04</fb>
    <v>0</v>
  </rv>
  <rv s="0">
    <fb>63.53</fb>
    <v>0</v>
  </rv>
  <rv s="0">
    <fb>139.58000000000001</fb>
    <v>0</v>
  </rv>
  <rv s="0">
    <fb>59.119900000000001</fb>
    <v>0</v>
  </rv>
  <rv s="0">
    <fb>133.07</fb>
    <v>0</v>
  </rv>
  <rv s="0">
    <fb>59.4</fb>
    <v>0</v>
  </rv>
  <rv s="0">
    <fb>135.13999999999999</fb>
    <v>0</v>
  </rv>
  <rv s="0">
    <fb>59.64</fb>
    <v>0</v>
  </rv>
  <rv s="0">
    <fb>135.62</fb>
    <v>0</v>
  </rv>
  <rv s="0">
    <fb>59.042999999999999</fb>
    <v>0</v>
  </rv>
  <rv s="0">
    <fb>133.82</fb>
    <v>0</v>
  </rv>
  <rv s="0">
    <fb>57.91</fb>
    <v>0</v>
  </rv>
  <rv s="0">
    <fb>129.71</fb>
    <v>0</v>
  </rv>
  <rv s="0">
    <fb>59</fb>
    <v>0</v>
  </rv>
  <rv s="0">
    <fb>129.61000000000001</fb>
    <v>0</v>
  </rv>
  <rv s="0">
    <fb>63.55</fb>
    <v>0</v>
  </rv>
  <rv s="0">
    <fb>132.08000000000001</fb>
    <v>0</v>
  </rv>
  <rv s="0">
    <fb>62.15</fb>
    <v>0</v>
  </rv>
  <rv s="0">
    <fb>131.51</fb>
    <v>0</v>
  </rv>
  <rv s="0">
    <fb>66.06</fb>
    <v>0</v>
  </rv>
  <rv s="0">
    <fb>136.88999999999999</fb>
    <v>0</v>
  </rv>
  <rv s="0">
    <fb>133.38</fb>
    <v>0</v>
  </rv>
  <rv s="0">
    <fb>66.27</fb>
    <v>0</v>
  </rv>
  <rv s="0">
    <fb>138.47999999999999</fb>
    <v>0</v>
  </rv>
  <rv s="0">
    <fb>68.14</fb>
    <v>0</v>
  </rv>
  <rv s="0">
    <fb>139.6</fb>
    <v>0</v>
  </rv>
  <rv s="0">
    <fb>67.739999999999995</fb>
    <v>0</v>
  </rv>
  <rv s="0">
    <fb>141.51</fb>
    <v>0</v>
  </rv>
  <rv s="0">
    <fb>65.41</fb>
    <v>0</v>
  </rv>
  <rv s="0">
    <fb>138.9</fb>
    <v>0</v>
  </rv>
  <rv s="0">
    <fb>68.13</fb>
    <v>0</v>
  </rv>
  <rv s="0">
    <fb>142.66</fb>
    <v>0</v>
  </rv>
  <rv s="0">
    <fb>64.83</fb>
    <v>0</v>
  </rv>
  <rv s="0">
    <fb>137.63999999999999</fb>
    <v>0</v>
  </rv>
  <rv s="0">
    <fb>66.23</fb>
    <v>0</v>
  </rv>
  <rv s="0">
    <fb>140.35</fb>
    <v>0</v>
  </rv>
  <rv s="0">
    <fb>64.58</fb>
    <v>0</v>
  </rv>
  <rv s="0">
    <fb>136.29</fb>
    <v>0</v>
  </rv>
  <rv s="0">
    <fb>64.06</fb>
    <v>0</v>
  </rv>
  <rv s="0">
    <fb>136.15</fb>
    <v>0</v>
  </rv>
  <rv s="0">
    <fb>131.58000000000001</fb>
    <v>0</v>
  </rv>
  <rv s="0">
    <fb>58.34</fb>
    <v>0</v>
  </rv>
  <rv s="0">
    <fb>127.53</fb>
    <v>0</v>
  </rv>
  <rv s="0">
    <fb>57.06</fb>
    <v>0</v>
  </rv>
  <rv s="0">
    <fb>126.31</fb>
    <v>0</v>
  </rv>
  <rv s="0">
    <fb>56.65</fb>
    <v>0</v>
  </rv>
  <rv s="0">
    <fb>123.84</fb>
    <v>0</v>
  </rv>
  <rv s="0">
    <fb>58.9</fb>
    <v>0</v>
  </rv>
  <rv s="0">
    <fb>125.98</fb>
    <v>0</v>
  </rv>
  <rv s="0">
    <fb>59.46</fb>
    <v>0</v>
  </rv>
  <rv s="0">
    <fb>125.48</fb>
    <v>0</v>
  </rv>
  <rv s="0">
    <fb>60.29</fb>
    <v>0</v>
  </rv>
  <rv s="0">
    <fb>126.16</fb>
    <v>0</v>
  </rv>
  <rv s="0">
    <fb>61.9</fb>
    <v>0</v>
  </rv>
  <rv s="0">
    <fb>129.37</fb>
    <v>0</v>
  </rv>
  <rv s="0">
    <fb>62.46</fb>
    <v>0</v>
  </rv>
  <rv s="0">
    <fb>130.16999999999999</fb>
    <v>0</v>
  </rv>
  <rv s="0">
    <fb>61.11</fb>
    <v>0</v>
  </rv>
  <rv s="0">
    <fb>129.65</fb>
    <v>0</v>
  </rv>
  <rv s="0">
    <fb>61.67</fb>
    <v>0</v>
  </rv>
  <rv s="0">
    <fb>128.79</fb>
    <v>0</v>
  </rv>
  <rv s="0">
    <fb>61.29</fb>
    <v>0</v>
  </rv>
  <rv s="0">
    <fb>124.42</fb>
    <v>0</v>
  </rv>
  <rv s="0">
    <fb>62.4</fb>
    <v>0</v>
  </rv>
  <rv s="0">
    <fb>126.09</fb>
    <v>0</v>
  </rv>
  <rv s="0">
    <fb>64.97</fb>
    <v>0</v>
  </rv>
  <rv s="0">
    <fb>124.12</fb>
    <v>0</v>
  </rv>
  <rv s="0">
    <fb>61.3</fb>
    <v>0</v>
  </rv>
  <rv s="0">
    <fb>120.85</fb>
    <v>0</v>
  </rv>
  <rv s="0">
    <fb>53.1</fb>
    <v>0</v>
  </rv>
  <rv s="0">
    <fb>110.34</fb>
    <v>0</v>
  </rv>
  <rv s="0">
    <fb>46.85</fb>
    <v>0</v>
  </rv>
  <rv s="0">
    <fb>88.5</fb>
    <v>0</v>
  </rv>
  <rv s="0">
    <fb>42.372</fb>
    <v>0</v>
  </rv>
  <rv s="0">
    <fb>93.21</fb>
    <v>0</v>
  </rv>
  <rv s="0">
    <fb>35.19</fb>
    <v>0</v>
  </rv>
  <rv s="0">
    <fb>87.04</fb>
    <v>0</v>
  </rv>
  <rv s="0">
    <fb>41.51</fb>
    <v>0</v>
  </rv>
  <rv s="0">
    <fb>96.83</fb>
    <v>0</v>
  </rv>
  <rv s="0">
    <fb>38.75</fb>
    <v>0</v>
  </rv>
  <rv s="0">
    <fb>93.86</fb>
    <v>0</v>
  </rv>
  <rv s="0">
    <fb>31.81</fb>
    <v>0</v>
  </rv>
  <rv s="0">
    <fb>86.62</fb>
    <v>0</v>
  </rv>
  <rv s="0">
    <fb>25.99</fb>
    <v>0</v>
  </rv>
  <rv s="0">
    <fb>79.52</fb>
    <v>0</v>
  </rv>
  <rv s="0">
    <fb>32.08</fb>
    <v>0</v>
  </rv>
  <rv s="0">
    <fb>90.09</fb>
    <v>0</v>
  </rv>
  <rv s="0">
    <fb>33.22</fb>
    <v>0</v>
  </rv>
  <rv s="0">
    <fb>87.93</fb>
    <v>0</v>
  </rv>
  <rv s="0">
    <fb>34.11</fb>
    <v>0</v>
  </rv>
  <rv s="0">
    <fb>88.99</fb>
    <v>0</v>
  </rv>
  <rv s="0">
    <fb>36.92</fb>
    <v>0</v>
  </rv>
  <rv s="0">
    <fb>88.19</fb>
    <v>0</v>
  </rv>
  <rv s="0">
    <fb>35.299999999999997</fb>
    <v>0</v>
  </rv>
  <rv s="0">
    <fb>87.16</fb>
    <v>0</v>
  </rv>
  <rv s="0">
    <fb>35.29</fb>
    <v>0</v>
  </rv>
  <rv s="0">
    <fb>92.96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0C806-5A27-4DE8-A3AD-8EC6C1E6EDD2}">
  <dimension ref="A1:F212"/>
  <sheetViews>
    <sheetView workbookViewId="0">
      <selection activeCell="E14" sqref="E14"/>
    </sheetView>
  </sheetViews>
  <sheetFormatPr defaultRowHeight="14.25"/>
  <cols>
    <col min="1" max="1" width="11.140625" bestFit="1" customWidth="1"/>
    <col min="5" max="5" width="41.28515625" bestFit="1" customWidth="1"/>
    <col min="6" max="6" width="12.5703125" bestFit="1" customWidth="1"/>
  </cols>
  <sheetData>
    <row r="1" spans="1:6">
      <c r="A1" s="5" t="s">
        <v>0</v>
      </c>
      <c r="B1" s="5" t="s">
        <v>1</v>
      </c>
      <c r="C1" s="5" t="s">
        <v>2</v>
      </c>
      <c r="E1" t="s">
        <v>3</v>
      </c>
    </row>
    <row r="2" spans="1:6">
      <c r="A2" s="5"/>
      <c r="B2" s="5" t="s">
        <v>4</v>
      </c>
      <c r="C2" s="5" t="s">
        <v>4</v>
      </c>
      <c r="E2" t="s">
        <v>5</v>
      </c>
    </row>
    <row r="3" spans="1:6">
      <c r="A3" s="6">
        <v>39083</v>
      </c>
      <c r="B3" s="7">
        <v>75.790000000000006</v>
      </c>
      <c r="C3" s="7">
        <v>140.54</v>
      </c>
      <c r="E3" t="s">
        <v>6</v>
      </c>
      <c r="F3">
        <v>0.78009469080326699</v>
      </c>
    </row>
    <row r="4" spans="1:6">
      <c r="A4" s="6">
        <v>39295</v>
      </c>
      <c r="B4" s="7">
        <v>79.11</v>
      </c>
      <c r="C4" s="7">
        <v>143.24</v>
      </c>
      <c r="E4" t="s">
        <v>7</v>
      </c>
      <c r="F4">
        <v>0.87056423269428695</v>
      </c>
    </row>
    <row r="5" spans="1:6">
      <c r="A5" s="5" t="s">
        <v>8</v>
      </c>
      <c r="B5" s="7">
        <v>80.900000000000006</v>
      </c>
      <c r="C5" s="7">
        <v>142.82</v>
      </c>
      <c r="E5" t="s">
        <v>9</v>
      </c>
      <c r="F5">
        <v>0.91847963676702005</v>
      </c>
    </row>
    <row r="6" spans="1:6">
      <c r="A6" s="5" t="s">
        <v>10</v>
      </c>
      <c r="B6" s="7">
        <v>82.42</v>
      </c>
      <c r="C6" s="7">
        <v>142.16</v>
      </c>
    </row>
    <row r="7" spans="1:6">
      <c r="A7" s="5" t="s">
        <v>11</v>
      </c>
      <c r="B7" s="7">
        <v>84.24</v>
      </c>
      <c r="C7" s="7">
        <v>144.81</v>
      </c>
      <c r="E7" t="s">
        <v>12</v>
      </c>
    </row>
    <row r="8" spans="1:6">
      <c r="A8" s="6">
        <v>39204</v>
      </c>
      <c r="B8" s="7">
        <v>85.6</v>
      </c>
      <c r="C8" s="7">
        <v>143.94</v>
      </c>
      <c r="E8" t="s">
        <v>6</v>
      </c>
      <c r="F8">
        <v>0.75498751128127095</v>
      </c>
    </row>
    <row r="9" spans="1:6">
      <c r="A9" s="6">
        <v>39418</v>
      </c>
      <c r="B9" s="7">
        <v>85.48</v>
      </c>
      <c r="C9" s="7">
        <v>145.72999999999999</v>
      </c>
      <c r="E9" t="s">
        <v>7</v>
      </c>
      <c r="F9">
        <v>0.73643805956840502</v>
      </c>
    </row>
    <row r="10" spans="1:6">
      <c r="A10" s="5" t="s">
        <v>13</v>
      </c>
      <c r="B10" s="7">
        <v>83.91</v>
      </c>
      <c r="C10" s="7">
        <v>145.30000000000001</v>
      </c>
      <c r="E10" t="s">
        <v>9</v>
      </c>
      <c r="F10">
        <v>0.78347429567690197</v>
      </c>
    </row>
    <row r="11" spans="1:6">
      <c r="A11" s="5" t="s">
        <v>14</v>
      </c>
      <c r="B11" s="7">
        <v>79.400000000000006</v>
      </c>
      <c r="C11" s="7">
        <v>138.66999999999999</v>
      </c>
    </row>
    <row r="12" spans="1:6">
      <c r="A12" s="6">
        <v>39205</v>
      </c>
      <c r="B12" s="7">
        <v>80.3</v>
      </c>
      <c r="C12" s="7">
        <v>140.78</v>
      </c>
    </row>
    <row r="13" spans="1:6">
      <c r="A13" s="6">
        <v>39419</v>
      </c>
      <c r="B13" s="7">
        <v>79</v>
      </c>
      <c r="C13" s="7">
        <v>138.53</v>
      </c>
    </row>
    <row r="14" spans="1:6">
      <c r="A14" s="5" t="s">
        <v>15</v>
      </c>
      <c r="B14" s="7">
        <v>81.209999999999994</v>
      </c>
      <c r="C14" s="7">
        <v>143.38999999999999</v>
      </c>
    </row>
    <row r="15" spans="1:6">
      <c r="A15" s="5" t="s">
        <v>16</v>
      </c>
      <c r="B15" s="7">
        <v>79.349999999999994</v>
      </c>
      <c r="C15" s="7">
        <v>142</v>
      </c>
    </row>
    <row r="16" spans="1:6">
      <c r="A16" s="6">
        <v>39117</v>
      </c>
      <c r="B16" s="7">
        <v>80.069999999999993</v>
      </c>
      <c r="C16" s="7">
        <v>144.24</v>
      </c>
    </row>
    <row r="17" spans="1:3">
      <c r="A17" s="6">
        <v>39329</v>
      </c>
      <c r="B17" s="7">
        <v>79.7</v>
      </c>
      <c r="C17" s="7">
        <v>145.32</v>
      </c>
    </row>
    <row r="18" spans="1:3">
      <c r="A18" s="5" t="s">
        <v>17</v>
      </c>
      <c r="B18" s="7">
        <v>80.400000000000006</v>
      </c>
      <c r="C18" s="7">
        <v>148.62</v>
      </c>
    </row>
    <row r="19" spans="1:3">
      <c r="A19" s="5" t="s">
        <v>18</v>
      </c>
      <c r="B19" s="7">
        <v>80.55</v>
      </c>
      <c r="C19" s="7">
        <v>149.53</v>
      </c>
    </row>
    <row r="20" spans="1:3">
      <c r="A20" s="5" t="s">
        <v>19</v>
      </c>
      <c r="B20" s="7">
        <v>78.7</v>
      </c>
      <c r="C20" s="7">
        <v>150.91999999999999</v>
      </c>
    </row>
    <row r="21" spans="1:3">
      <c r="A21" s="6">
        <v>39268</v>
      </c>
      <c r="B21" s="7">
        <v>79.25</v>
      </c>
      <c r="C21" s="7">
        <v>150.86000000000001</v>
      </c>
    </row>
    <row r="22" spans="1:3">
      <c r="A22" s="5" t="s">
        <v>20</v>
      </c>
      <c r="B22" s="7">
        <v>74.55</v>
      </c>
      <c r="C22" s="7">
        <v>152.62</v>
      </c>
    </row>
    <row r="23" spans="1:3">
      <c r="A23" s="5" t="s">
        <v>21</v>
      </c>
      <c r="B23" s="7">
        <v>74.540000000000006</v>
      </c>
      <c r="C23" s="7">
        <v>151.69</v>
      </c>
    </row>
    <row r="24" spans="1:3">
      <c r="A24" s="5" t="s">
        <v>22</v>
      </c>
      <c r="B24" s="7">
        <v>79.06</v>
      </c>
      <c r="C24" s="7">
        <v>154.08000000000001</v>
      </c>
    </row>
    <row r="25" spans="1:3">
      <c r="A25" s="6">
        <v>39178</v>
      </c>
      <c r="B25" s="7">
        <v>76.05</v>
      </c>
      <c r="C25" s="7">
        <v>151.04</v>
      </c>
    </row>
    <row r="26" spans="1:3">
      <c r="A26" s="6">
        <v>39392</v>
      </c>
      <c r="B26" s="7">
        <v>75.25</v>
      </c>
      <c r="C26" s="7">
        <v>153.07</v>
      </c>
    </row>
    <row r="27" spans="1:3">
      <c r="A27" s="5" t="s">
        <v>23</v>
      </c>
      <c r="B27" s="7">
        <v>72.13</v>
      </c>
      <c r="C27" s="7">
        <v>150.55000000000001</v>
      </c>
    </row>
    <row r="28" spans="1:3">
      <c r="A28" s="5" t="s">
        <v>24</v>
      </c>
      <c r="B28" s="7">
        <v>70.95</v>
      </c>
      <c r="C28" s="7">
        <v>150.43</v>
      </c>
    </row>
    <row r="29" spans="1:3">
      <c r="A29" s="6">
        <v>39120</v>
      </c>
      <c r="B29" s="7">
        <v>73.39</v>
      </c>
      <c r="C29" s="7">
        <v>152.97999999999999</v>
      </c>
    </row>
    <row r="30" spans="1:3">
      <c r="A30" s="6">
        <v>39332</v>
      </c>
      <c r="B30" s="7">
        <v>72.95</v>
      </c>
      <c r="C30" s="7">
        <v>154.85</v>
      </c>
    </row>
    <row r="31" spans="1:3">
      <c r="A31" s="5" t="s">
        <v>25</v>
      </c>
      <c r="B31" s="7">
        <v>70.930000000000007</v>
      </c>
      <c r="C31" s="7">
        <v>153.5</v>
      </c>
    </row>
    <row r="32" spans="1:3">
      <c r="A32" s="5" t="s">
        <v>26</v>
      </c>
      <c r="B32" s="7">
        <v>64.11</v>
      </c>
      <c r="C32" s="7">
        <v>145.11000000000001</v>
      </c>
    </row>
    <row r="33" spans="1:3">
      <c r="A33" s="5" t="s">
        <v>27</v>
      </c>
      <c r="B33" s="7">
        <v>64.45</v>
      </c>
      <c r="C33" s="7">
        <v>143.80000000000001</v>
      </c>
    </row>
    <row r="34" spans="1:3">
      <c r="A34" s="6">
        <v>39241</v>
      </c>
      <c r="B34" s="7">
        <v>66.87</v>
      </c>
      <c r="C34" s="7">
        <v>144.71</v>
      </c>
    </row>
    <row r="35" spans="1:3">
      <c r="A35" s="5" t="s">
        <v>28</v>
      </c>
      <c r="B35" s="7">
        <v>67.599999999999994</v>
      </c>
      <c r="C35" s="7">
        <v>144.71</v>
      </c>
    </row>
    <row r="36" spans="1:3">
      <c r="A36" s="5" t="s">
        <v>29</v>
      </c>
      <c r="B36" s="7">
        <v>69.17</v>
      </c>
      <c r="C36" s="7">
        <v>148.33000000000001</v>
      </c>
    </row>
    <row r="37" spans="1:3">
      <c r="A37" s="5" t="s">
        <v>30</v>
      </c>
      <c r="B37" s="7">
        <v>69.48</v>
      </c>
      <c r="C37" s="7">
        <v>147.59</v>
      </c>
    </row>
    <row r="38" spans="1:3">
      <c r="A38" s="6">
        <v>39150</v>
      </c>
      <c r="B38" s="7">
        <v>67.650000000000006</v>
      </c>
      <c r="C38" s="7">
        <v>146.07</v>
      </c>
    </row>
    <row r="39" spans="1:3">
      <c r="A39" s="6">
        <v>39364</v>
      </c>
      <c r="B39" s="7">
        <v>69.92</v>
      </c>
      <c r="C39" s="7">
        <v>148.9</v>
      </c>
    </row>
    <row r="40" spans="1:3">
      <c r="A40" s="5" t="s">
        <v>31</v>
      </c>
      <c r="B40" s="7">
        <v>71.84</v>
      </c>
      <c r="C40" s="7">
        <v>151.97</v>
      </c>
    </row>
    <row r="41" spans="1:3">
      <c r="A41" s="5" t="s">
        <v>32</v>
      </c>
      <c r="B41" s="7">
        <v>71.459999999999994</v>
      </c>
      <c r="C41" s="7">
        <v>152.58000000000001</v>
      </c>
    </row>
    <row r="42" spans="1:3">
      <c r="A42" s="6">
        <v>39092</v>
      </c>
      <c r="B42" s="7">
        <v>76.69</v>
      </c>
      <c r="C42" s="7">
        <v>155.85</v>
      </c>
    </row>
    <row r="43" spans="1:3">
      <c r="A43" s="6">
        <v>39304</v>
      </c>
      <c r="B43" s="7">
        <v>74.540000000000006</v>
      </c>
      <c r="C43" s="7">
        <v>156.33000000000001</v>
      </c>
    </row>
    <row r="44" spans="1:3">
      <c r="A44" s="5" t="s">
        <v>33</v>
      </c>
      <c r="B44" s="7">
        <v>69.09</v>
      </c>
      <c r="C44" s="7">
        <v>149.66999999999999</v>
      </c>
    </row>
    <row r="45" spans="1:3">
      <c r="A45" s="5" t="s">
        <v>34</v>
      </c>
      <c r="B45" s="7">
        <v>71.67</v>
      </c>
      <c r="C45" s="7">
        <v>153.62</v>
      </c>
    </row>
    <row r="46" spans="1:3">
      <c r="A46" s="5" t="s">
        <v>35</v>
      </c>
      <c r="B46" s="7">
        <v>68.56</v>
      </c>
      <c r="C46" s="7">
        <v>151.19999999999999</v>
      </c>
    </row>
    <row r="47" spans="1:3">
      <c r="A47" s="6">
        <v>39213</v>
      </c>
      <c r="B47" s="7">
        <v>65.95</v>
      </c>
      <c r="C47" s="7">
        <v>145.13999999999999</v>
      </c>
    </row>
    <row r="48" spans="1:3">
      <c r="A48" s="6">
        <v>39427</v>
      </c>
      <c r="B48" s="7">
        <v>66.14</v>
      </c>
      <c r="C48" s="7">
        <v>145.79</v>
      </c>
    </row>
    <row r="49" spans="1:3">
      <c r="A49" s="5" t="s">
        <v>36</v>
      </c>
      <c r="B49" s="7">
        <v>64.25</v>
      </c>
      <c r="C49" s="7">
        <v>144.13</v>
      </c>
    </row>
    <row r="50" spans="1:3">
      <c r="A50" s="5" t="s">
        <v>37</v>
      </c>
      <c r="B50" s="7">
        <v>66.05</v>
      </c>
      <c r="C50" s="7">
        <v>148.66</v>
      </c>
    </row>
    <row r="51" spans="1:3">
      <c r="A51" s="6">
        <v>39153</v>
      </c>
      <c r="B51" s="7">
        <v>67.569999999999993</v>
      </c>
      <c r="C51" s="7">
        <v>150.91</v>
      </c>
    </row>
    <row r="52" spans="1:3">
      <c r="A52" s="6">
        <v>39367</v>
      </c>
      <c r="B52" s="7">
        <v>62.8</v>
      </c>
      <c r="C52" s="7">
        <v>147.16999999999999</v>
      </c>
    </row>
    <row r="53" spans="1:3">
      <c r="A53" s="5" t="s">
        <v>38</v>
      </c>
      <c r="B53" s="7">
        <v>62.36</v>
      </c>
      <c r="C53" s="7">
        <v>148.13</v>
      </c>
    </row>
    <row r="54" spans="1:3">
      <c r="A54" s="5" t="s">
        <v>39</v>
      </c>
      <c r="B54" s="7">
        <v>60.96</v>
      </c>
      <c r="C54" s="7">
        <v>147.30000000000001</v>
      </c>
    </row>
    <row r="55" spans="1:3">
      <c r="A55" s="5" t="s">
        <v>40</v>
      </c>
      <c r="B55" s="7">
        <v>56.95</v>
      </c>
      <c r="C55" s="7">
        <v>141.31</v>
      </c>
    </row>
    <row r="56" spans="1:3">
      <c r="A56" s="6">
        <v>39630</v>
      </c>
      <c r="B56" s="7">
        <v>57.35</v>
      </c>
      <c r="C56" s="7">
        <v>140.15</v>
      </c>
    </row>
    <row r="57" spans="1:3">
      <c r="A57" s="5" t="s">
        <v>41</v>
      </c>
      <c r="B57" s="7">
        <v>55.08</v>
      </c>
      <c r="C57" s="7">
        <v>132.06</v>
      </c>
    </row>
    <row r="58" spans="1:3">
      <c r="A58" s="5" t="s">
        <v>42</v>
      </c>
      <c r="B58" s="7">
        <v>59.95</v>
      </c>
      <c r="C58" s="7">
        <v>133.04</v>
      </c>
    </row>
    <row r="59" spans="1:3">
      <c r="A59" s="5" t="s">
        <v>43</v>
      </c>
      <c r="B59" s="7">
        <v>63.53</v>
      </c>
      <c r="C59" s="7">
        <v>139.58000000000001</v>
      </c>
    </row>
    <row r="60" spans="1:3">
      <c r="A60" s="6">
        <v>39540</v>
      </c>
      <c r="B60" s="7">
        <v>59.12</v>
      </c>
      <c r="C60" s="7">
        <v>133.07</v>
      </c>
    </row>
    <row r="61" spans="1:3">
      <c r="A61" s="6">
        <v>39754</v>
      </c>
      <c r="B61" s="7">
        <v>59.4</v>
      </c>
      <c r="C61" s="7">
        <v>135.13999999999999</v>
      </c>
    </row>
    <row r="62" spans="1:3">
      <c r="A62" s="5" t="s">
        <v>44</v>
      </c>
      <c r="B62" s="7">
        <v>59.64</v>
      </c>
      <c r="C62" s="7">
        <v>135.62</v>
      </c>
    </row>
    <row r="63" spans="1:3">
      <c r="A63" s="5" t="s">
        <v>45</v>
      </c>
      <c r="B63" s="7">
        <v>59.04</v>
      </c>
      <c r="C63" s="7">
        <v>133.82</v>
      </c>
    </row>
    <row r="64" spans="1:3">
      <c r="A64" s="6">
        <v>39510</v>
      </c>
      <c r="B64" s="7">
        <v>57.91</v>
      </c>
      <c r="C64" s="7">
        <v>129.71</v>
      </c>
    </row>
    <row r="65" spans="1:3">
      <c r="A65" s="6">
        <v>39724</v>
      </c>
      <c r="B65" s="7">
        <v>59</v>
      </c>
      <c r="C65" s="7">
        <v>129.61000000000001</v>
      </c>
    </row>
    <row r="66" spans="1:3">
      <c r="A66" s="5" t="s">
        <v>46</v>
      </c>
      <c r="B66" s="7">
        <v>63.55</v>
      </c>
      <c r="C66" s="7">
        <v>132.08000000000001</v>
      </c>
    </row>
    <row r="67" spans="1:3">
      <c r="A67" s="5" t="s">
        <v>47</v>
      </c>
      <c r="B67" s="7">
        <v>62.15</v>
      </c>
      <c r="C67" s="7">
        <v>131.51</v>
      </c>
    </row>
    <row r="68" spans="1:3">
      <c r="A68" s="5" t="s">
        <v>48</v>
      </c>
      <c r="B68" s="7">
        <v>66.06</v>
      </c>
      <c r="C68" s="7">
        <v>136.88999999999999</v>
      </c>
    </row>
    <row r="69" spans="1:3">
      <c r="A69" s="6">
        <v>39633</v>
      </c>
      <c r="B69" s="7">
        <v>63.55</v>
      </c>
      <c r="C69" s="7">
        <v>133.38</v>
      </c>
    </row>
    <row r="70" spans="1:3">
      <c r="A70" s="5" t="s">
        <v>49</v>
      </c>
      <c r="B70" s="7">
        <v>66.27</v>
      </c>
      <c r="C70" s="7">
        <v>138.47999999999999</v>
      </c>
    </row>
    <row r="71" spans="1:3">
      <c r="A71" s="5" t="s">
        <v>50</v>
      </c>
      <c r="B71" s="7">
        <v>68.14</v>
      </c>
      <c r="C71" s="7">
        <v>139.6</v>
      </c>
    </row>
    <row r="72" spans="1:3">
      <c r="A72" s="5" t="s">
        <v>51</v>
      </c>
      <c r="B72" s="7">
        <v>67.739999999999995</v>
      </c>
      <c r="C72" s="7">
        <v>141.51</v>
      </c>
    </row>
    <row r="73" spans="1:3">
      <c r="A73" s="6">
        <v>39573</v>
      </c>
      <c r="B73" s="7">
        <v>65.41</v>
      </c>
      <c r="C73" s="7">
        <v>138.9</v>
      </c>
    </row>
    <row r="74" spans="1:3">
      <c r="A74" s="6">
        <v>39787</v>
      </c>
      <c r="B74" s="7">
        <v>68.13</v>
      </c>
      <c r="C74" s="7">
        <v>142.66</v>
      </c>
    </row>
    <row r="75" spans="1:3">
      <c r="A75" s="5" t="s">
        <v>52</v>
      </c>
      <c r="B75" s="7">
        <v>64.83</v>
      </c>
      <c r="C75" s="7">
        <v>137.63999999999999</v>
      </c>
    </row>
    <row r="76" spans="1:3">
      <c r="A76" s="5" t="s">
        <v>53</v>
      </c>
      <c r="B76" s="7">
        <v>66.23</v>
      </c>
      <c r="C76" s="7">
        <v>140.35</v>
      </c>
    </row>
    <row r="77" spans="1:3">
      <c r="A77" s="6">
        <v>39484</v>
      </c>
      <c r="B77" s="7">
        <v>64.58</v>
      </c>
      <c r="C77" s="7">
        <v>136.29</v>
      </c>
    </row>
    <row r="78" spans="1:3">
      <c r="A78" s="6">
        <v>39697</v>
      </c>
      <c r="B78" s="7">
        <v>64.06</v>
      </c>
      <c r="C78" s="7">
        <v>136.15</v>
      </c>
    </row>
    <row r="79" spans="1:3">
      <c r="A79" s="5" t="s">
        <v>54</v>
      </c>
      <c r="B79" s="7">
        <v>62.15</v>
      </c>
      <c r="C79" s="7">
        <v>131.58000000000001</v>
      </c>
    </row>
    <row r="80" spans="1:3">
      <c r="A80" s="5" t="s">
        <v>55</v>
      </c>
      <c r="B80" s="7">
        <v>58.34</v>
      </c>
      <c r="C80" s="7">
        <v>127.53</v>
      </c>
    </row>
    <row r="81" spans="1:3">
      <c r="A81" s="5" t="s">
        <v>56</v>
      </c>
      <c r="B81" s="7">
        <v>57.06</v>
      </c>
      <c r="C81" s="7">
        <v>126.31</v>
      </c>
    </row>
    <row r="82" spans="1:3">
      <c r="A82" s="6">
        <v>39636</v>
      </c>
      <c r="B82" s="7">
        <v>56.65</v>
      </c>
      <c r="C82" s="7">
        <v>123.84</v>
      </c>
    </row>
    <row r="83" spans="1:3">
      <c r="A83" s="5" t="s">
        <v>57</v>
      </c>
      <c r="B83" s="7">
        <v>58.9</v>
      </c>
      <c r="C83" s="7">
        <v>125.98</v>
      </c>
    </row>
    <row r="84" spans="1:3">
      <c r="A84" s="5" t="s">
        <v>58</v>
      </c>
      <c r="B84" s="7">
        <v>59.46</v>
      </c>
      <c r="C84" s="7">
        <v>125.48</v>
      </c>
    </row>
    <row r="85" spans="1:3">
      <c r="A85" s="5" t="s">
        <v>59</v>
      </c>
      <c r="B85" s="7">
        <v>60.29</v>
      </c>
      <c r="C85" s="7">
        <v>126.16</v>
      </c>
    </row>
    <row r="86" spans="1:3">
      <c r="A86" s="6">
        <v>39546</v>
      </c>
      <c r="B86" s="7">
        <v>61.9</v>
      </c>
      <c r="C86" s="7">
        <v>129.37</v>
      </c>
    </row>
    <row r="87" spans="1:3">
      <c r="A87" s="6">
        <v>39760</v>
      </c>
      <c r="B87" s="7">
        <v>62.46</v>
      </c>
      <c r="C87" s="7">
        <v>130.16999999999999</v>
      </c>
    </row>
    <row r="88" spans="1:3">
      <c r="A88" s="5" t="s">
        <v>60</v>
      </c>
      <c r="B88" s="7">
        <v>61.11</v>
      </c>
      <c r="C88" s="7">
        <v>129.65</v>
      </c>
    </row>
    <row r="89" spans="1:3">
      <c r="A89" s="5" t="s">
        <v>61</v>
      </c>
      <c r="B89" s="7">
        <v>61.67</v>
      </c>
      <c r="C89" s="7">
        <v>128.79</v>
      </c>
    </row>
    <row r="90" spans="1:3">
      <c r="A90" s="6">
        <v>39456</v>
      </c>
      <c r="B90" s="7">
        <v>61.29</v>
      </c>
      <c r="C90" s="7">
        <v>124.42</v>
      </c>
    </row>
    <row r="91" spans="1:3">
      <c r="A91" s="6">
        <v>39669</v>
      </c>
      <c r="B91" s="7">
        <v>62.4</v>
      </c>
      <c r="C91" s="7">
        <v>126.09</v>
      </c>
    </row>
    <row r="92" spans="1:3">
      <c r="A92" s="5" t="s">
        <v>62</v>
      </c>
      <c r="B92" s="7">
        <v>64.97</v>
      </c>
      <c r="C92" s="7">
        <v>124.12</v>
      </c>
    </row>
    <row r="93" spans="1:3">
      <c r="A93" s="5" t="s">
        <v>63</v>
      </c>
      <c r="B93" s="7">
        <v>61.3</v>
      </c>
      <c r="C93" s="7">
        <v>120.85</v>
      </c>
    </row>
    <row r="94" spans="1:3">
      <c r="A94" s="5" t="s">
        <v>64</v>
      </c>
      <c r="B94" s="7">
        <v>53.1</v>
      </c>
      <c r="C94" s="7">
        <v>110.34</v>
      </c>
    </row>
    <row r="95" spans="1:3">
      <c r="A95" s="6">
        <v>39609</v>
      </c>
      <c r="B95" s="7">
        <v>46.85</v>
      </c>
      <c r="C95" s="7">
        <v>88.5</v>
      </c>
    </row>
    <row r="96" spans="1:3">
      <c r="A96" s="5" t="s">
        <v>65</v>
      </c>
      <c r="B96" s="7">
        <v>42.37</v>
      </c>
      <c r="C96" s="7">
        <v>93.21</v>
      </c>
    </row>
    <row r="97" spans="1:3">
      <c r="A97" s="5" t="s">
        <v>66</v>
      </c>
      <c r="B97" s="7">
        <v>35.19</v>
      </c>
      <c r="C97" s="7">
        <v>87.04</v>
      </c>
    </row>
    <row r="98" spans="1:3">
      <c r="A98" s="5" t="s">
        <v>67</v>
      </c>
      <c r="B98" s="7">
        <v>41.51</v>
      </c>
      <c r="C98" s="7">
        <v>96.83</v>
      </c>
    </row>
    <row r="99" spans="1:3">
      <c r="A99" s="6">
        <v>39518</v>
      </c>
      <c r="B99" s="7">
        <v>38.75</v>
      </c>
      <c r="C99" s="7">
        <v>93.86</v>
      </c>
    </row>
    <row r="100" spans="1:3">
      <c r="A100" s="6">
        <v>39732</v>
      </c>
      <c r="B100" s="7">
        <v>31.81</v>
      </c>
      <c r="C100" s="7">
        <v>86.62</v>
      </c>
    </row>
    <row r="101" spans="1:3">
      <c r="A101" s="5" t="s">
        <v>68</v>
      </c>
      <c r="B101" s="7">
        <v>25.99</v>
      </c>
      <c r="C101" s="7">
        <v>79.52</v>
      </c>
    </row>
    <row r="102" spans="1:3">
      <c r="A102" s="5" t="s">
        <v>69</v>
      </c>
      <c r="B102" s="7">
        <v>32.08</v>
      </c>
      <c r="C102" s="7">
        <v>90.09</v>
      </c>
    </row>
    <row r="103" spans="1:3">
      <c r="A103" s="6">
        <v>39459</v>
      </c>
      <c r="B103" s="7">
        <v>33.22</v>
      </c>
      <c r="C103" s="7">
        <v>87.93</v>
      </c>
    </row>
    <row r="104" spans="1:3">
      <c r="A104" s="6">
        <v>39672</v>
      </c>
      <c r="B104" s="7">
        <v>34.11</v>
      </c>
      <c r="C104" s="7">
        <v>88.99</v>
      </c>
    </row>
    <row r="105" spans="1:3">
      <c r="A105" s="5" t="s">
        <v>70</v>
      </c>
      <c r="B105" s="7">
        <v>36.92</v>
      </c>
      <c r="C105" s="7">
        <v>88.19</v>
      </c>
    </row>
    <row r="106" spans="1:3">
      <c r="A106" s="5" t="s">
        <v>71</v>
      </c>
      <c r="B106" s="7">
        <v>35.299999999999997</v>
      </c>
      <c r="C106" s="7">
        <v>87.16</v>
      </c>
    </row>
    <row r="107" spans="1:3">
      <c r="A107" s="5" t="s">
        <v>72</v>
      </c>
      <c r="B107" s="7">
        <v>35.29</v>
      </c>
      <c r="C107" s="7">
        <v>92.96</v>
      </c>
    </row>
    <row r="108" spans="1:3">
      <c r="A108" s="6">
        <v>43466</v>
      </c>
      <c r="B108" s="7">
        <v>74.319999999999993</v>
      </c>
      <c r="C108" s="7">
        <v>252.39</v>
      </c>
    </row>
    <row r="109" spans="1:3">
      <c r="A109" s="6">
        <v>43678</v>
      </c>
      <c r="B109" s="7">
        <v>77.75</v>
      </c>
      <c r="C109" s="7">
        <v>258.98</v>
      </c>
    </row>
    <row r="110" spans="1:3">
      <c r="A110" s="5" t="s">
        <v>73</v>
      </c>
      <c r="B110" s="7">
        <v>79.430000000000007</v>
      </c>
      <c r="C110" s="7">
        <v>266.45999999999998</v>
      </c>
    </row>
    <row r="111" spans="1:3">
      <c r="A111" s="5" t="s">
        <v>74</v>
      </c>
      <c r="B111" s="7">
        <v>80.459999999999994</v>
      </c>
      <c r="C111" s="7">
        <v>265.77999999999997</v>
      </c>
    </row>
    <row r="112" spans="1:3">
      <c r="A112" s="5" t="s">
        <v>75</v>
      </c>
      <c r="B112" s="7">
        <v>82.88</v>
      </c>
      <c r="C112" s="7">
        <v>270.06</v>
      </c>
    </row>
    <row r="113" spans="1:3">
      <c r="A113" s="6">
        <v>43587</v>
      </c>
      <c r="B113" s="7">
        <v>84.12</v>
      </c>
      <c r="C113" s="7">
        <v>270.47000000000003</v>
      </c>
    </row>
    <row r="114" spans="1:3">
      <c r="A114" s="6">
        <v>43801</v>
      </c>
      <c r="B114" s="7">
        <v>85.09</v>
      </c>
      <c r="C114" s="7">
        <v>277.37</v>
      </c>
    </row>
    <row r="115" spans="1:3">
      <c r="A115" s="5" t="s">
        <v>76</v>
      </c>
      <c r="B115" s="7">
        <v>85.12</v>
      </c>
      <c r="C115" s="7">
        <v>279.14</v>
      </c>
    </row>
    <row r="116" spans="1:3">
      <c r="A116" s="5" t="s">
        <v>77</v>
      </c>
      <c r="B116" s="7">
        <v>83.73</v>
      </c>
      <c r="C116" s="7">
        <v>280.42</v>
      </c>
    </row>
    <row r="117" spans="1:3">
      <c r="A117" s="6">
        <v>43588</v>
      </c>
      <c r="B117" s="7">
        <v>83.86</v>
      </c>
      <c r="C117" s="7">
        <v>274.45999999999998</v>
      </c>
    </row>
    <row r="118" spans="1:3">
      <c r="A118" s="6">
        <v>43802</v>
      </c>
      <c r="B118" s="7">
        <v>85.76</v>
      </c>
      <c r="C118" s="7">
        <v>281.31</v>
      </c>
    </row>
    <row r="119" spans="1:3">
      <c r="A119" s="5" t="s">
        <v>78</v>
      </c>
      <c r="B119" s="7">
        <v>86.22</v>
      </c>
      <c r="C119" s="7">
        <v>279.25</v>
      </c>
    </row>
    <row r="120" spans="1:3">
      <c r="A120" s="5" t="s">
        <v>79</v>
      </c>
      <c r="B120" s="7">
        <v>86.91</v>
      </c>
      <c r="C120" s="7">
        <v>282.48</v>
      </c>
    </row>
    <row r="121" spans="1:3">
      <c r="A121" s="6">
        <v>43500</v>
      </c>
      <c r="B121" s="7">
        <v>87.84</v>
      </c>
      <c r="C121" s="7">
        <v>288.57</v>
      </c>
    </row>
    <row r="122" spans="1:3">
      <c r="A122" s="6">
        <v>43712</v>
      </c>
      <c r="B122" s="7">
        <v>88.05</v>
      </c>
      <c r="C122" s="7">
        <v>290.16000000000003</v>
      </c>
    </row>
    <row r="123" spans="1:3">
      <c r="A123" s="5" t="s">
        <v>80</v>
      </c>
      <c r="B123" s="7">
        <v>85.49</v>
      </c>
      <c r="C123" s="7">
        <v>290.02</v>
      </c>
    </row>
    <row r="124" spans="1:3">
      <c r="A124" s="5" t="s">
        <v>81</v>
      </c>
      <c r="B124" s="7">
        <v>86.8</v>
      </c>
      <c r="C124" s="7">
        <v>293.41000000000003</v>
      </c>
    </row>
    <row r="125" spans="1:3">
      <c r="A125" s="5" t="s">
        <v>82</v>
      </c>
      <c r="B125" s="7">
        <v>87.67</v>
      </c>
      <c r="C125" s="7">
        <v>294.02999999999997</v>
      </c>
    </row>
    <row r="126" spans="1:3">
      <c r="A126" s="6">
        <v>43651</v>
      </c>
      <c r="B126" s="7">
        <v>86.86</v>
      </c>
      <c r="C126" s="7">
        <v>288.10000000000002</v>
      </c>
    </row>
    <row r="127" spans="1:3">
      <c r="A127" s="5" t="s">
        <v>83</v>
      </c>
      <c r="B127" s="7">
        <v>87.86</v>
      </c>
      <c r="C127" s="7">
        <v>285.83999999999997</v>
      </c>
    </row>
    <row r="128" spans="1:3">
      <c r="A128" s="5" t="s">
        <v>84</v>
      </c>
      <c r="B128" s="7">
        <v>88.06</v>
      </c>
      <c r="C128" s="7">
        <v>282.77999999999997</v>
      </c>
    </row>
    <row r="129" spans="1:3">
      <c r="A129" s="5" t="s">
        <v>85</v>
      </c>
      <c r="B129" s="7">
        <v>86.89</v>
      </c>
      <c r="C129" s="7">
        <v>275.27</v>
      </c>
    </row>
    <row r="130" spans="1:3">
      <c r="A130" s="6">
        <v>43561</v>
      </c>
      <c r="B130" s="7">
        <v>89.02</v>
      </c>
      <c r="C130" s="7">
        <v>287.64999999999998</v>
      </c>
    </row>
    <row r="131" spans="1:3">
      <c r="A131" s="6">
        <v>43775</v>
      </c>
      <c r="B131" s="7">
        <v>89.7</v>
      </c>
      <c r="C131" s="7">
        <v>289.26</v>
      </c>
    </row>
    <row r="132" spans="1:3">
      <c r="A132" s="5" t="s">
        <v>86</v>
      </c>
      <c r="B132" s="7">
        <v>90.23</v>
      </c>
      <c r="C132" s="7">
        <v>294</v>
      </c>
    </row>
    <row r="133" spans="1:3">
      <c r="A133" s="5" t="s">
        <v>87</v>
      </c>
      <c r="B133" s="7">
        <v>87.4</v>
      </c>
      <c r="C133" s="7">
        <v>293</v>
      </c>
    </row>
    <row r="134" spans="1:3">
      <c r="A134" s="6">
        <v>43503</v>
      </c>
      <c r="B134" s="7">
        <v>89.62</v>
      </c>
      <c r="C134" s="7">
        <v>298.45999999999998</v>
      </c>
    </row>
    <row r="135" spans="1:3">
      <c r="A135" s="6">
        <v>43715</v>
      </c>
      <c r="B135" s="7">
        <v>89.46</v>
      </c>
      <c r="C135" s="7">
        <v>300.64999999999998</v>
      </c>
    </row>
    <row r="136" spans="1:3">
      <c r="A136" s="5" t="s">
        <v>88</v>
      </c>
      <c r="B136" s="7">
        <v>87.43</v>
      </c>
      <c r="C136" s="7">
        <v>297.17</v>
      </c>
    </row>
    <row r="137" spans="1:3">
      <c r="A137" s="5" t="s">
        <v>89</v>
      </c>
      <c r="B137" s="7">
        <v>88.29</v>
      </c>
      <c r="C137" s="7">
        <v>302.01</v>
      </c>
    </row>
    <row r="138" spans="1:3">
      <c r="A138" s="5" t="s">
        <v>90</v>
      </c>
      <c r="B138" s="7">
        <v>89.32</v>
      </c>
      <c r="C138" s="7">
        <v>292.62</v>
      </c>
    </row>
    <row r="139" spans="1:3">
      <c r="A139" s="6">
        <v>43624</v>
      </c>
      <c r="B139" s="7">
        <v>90.85</v>
      </c>
      <c r="C139" s="7">
        <v>291.62</v>
      </c>
    </row>
    <row r="140" spans="1:3">
      <c r="A140" s="5" t="s">
        <v>91</v>
      </c>
      <c r="B140" s="7">
        <v>91.18</v>
      </c>
      <c r="C140" s="7">
        <v>288.85000000000002</v>
      </c>
    </row>
    <row r="141" spans="1:3">
      <c r="A141" s="5" t="s">
        <v>92</v>
      </c>
      <c r="B141" s="7">
        <v>90.7</v>
      </c>
      <c r="C141" s="7">
        <v>284.85000000000002</v>
      </c>
    </row>
    <row r="142" spans="1:3">
      <c r="A142" s="5" t="s">
        <v>93</v>
      </c>
      <c r="B142" s="7">
        <v>92.22</v>
      </c>
      <c r="C142" s="7">
        <v>292.45</v>
      </c>
    </row>
    <row r="143" spans="1:3">
      <c r="A143" s="6">
        <v>43533</v>
      </c>
      <c r="B143" s="7">
        <v>93.45</v>
      </c>
      <c r="C143" s="7">
        <v>298.05</v>
      </c>
    </row>
    <row r="144" spans="1:3">
      <c r="A144" s="6">
        <v>43747</v>
      </c>
      <c r="B144" s="7">
        <v>91.64</v>
      </c>
      <c r="C144" s="7">
        <v>301.08999999999997</v>
      </c>
    </row>
    <row r="145" spans="1:3">
      <c r="A145" s="5" t="s">
        <v>94</v>
      </c>
      <c r="B145" s="7">
        <v>93.45</v>
      </c>
      <c r="C145" s="7">
        <v>298.27999999999997</v>
      </c>
    </row>
    <row r="146" spans="1:3">
      <c r="A146" s="5" t="s">
        <v>95</v>
      </c>
      <c r="B146" s="7">
        <v>93.09</v>
      </c>
      <c r="C146" s="7">
        <v>295.39999999999998</v>
      </c>
    </row>
    <row r="147" spans="1:3">
      <c r="A147" s="6">
        <v>43475</v>
      </c>
      <c r="B147" s="7">
        <v>93.43</v>
      </c>
      <c r="C147" s="7">
        <v>294.35000000000002</v>
      </c>
    </row>
    <row r="148" spans="1:3">
      <c r="A148" s="6">
        <v>43687</v>
      </c>
      <c r="B148" s="7">
        <v>93.03</v>
      </c>
      <c r="C148" s="7">
        <v>296.27999999999997</v>
      </c>
    </row>
    <row r="149" spans="1:3">
      <c r="A149" s="5" t="s">
        <v>96</v>
      </c>
      <c r="B149" s="7">
        <v>94.53</v>
      </c>
      <c r="C149" s="7">
        <v>297.97000000000003</v>
      </c>
    </row>
    <row r="150" spans="1:3">
      <c r="A150" s="5" t="s">
        <v>97</v>
      </c>
      <c r="B150" s="7">
        <v>94.13</v>
      </c>
      <c r="C150" s="7">
        <v>301.60000000000002</v>
      </c>
    </row>
    <row r="151" spans="1:3">
      <c r="A151" s="5" t="s">
        <v>98</v>
      </c>
      <c r="B151" s="7">
        <v>94.28</v>
      </c>
      <c r="C151" s="7">
        <v>306.14</v>
      </c>
    </row>
    <row r="152" spans="1:3">
      <c r="A152" s="6">
        <v>43596</v>
      </c>
      <c r="B152" s="7">
        <v>91.09</v>
      </c>
      <c r="C152" s="7">
        <v>308.94</v>
      </c>
    </row>
    <row r="153" spans="1:3">
      <c r="A153" s="6">
        <v>43810</v>
      </c>
      <c r="B153" s="7">
        <v>92.64</v>
      </c>
      <c r="C153" s="7">
        <v>311.79000000000002</v>
      </c>
    </row>
    <row r="154" spans="1:3">
      <c r="A154" s="5" t="s">
        <v>99</v>
      </c>
      <c r="B154" s="7">
        <v>91.55</v>
      </c>
      <c r="C154" s="7">
        <v>310.95999999999998</v>
      </c>
    </row>
    <row r="155" spans="1:3">
      <c r="A155" s="5" t="s">
        <v>100</v>
      </c>
      <c r="B155" s="7">
        <v>93.07</v>
      </c>
      <c r="C155" s="7">
        <v>314.31</v>
      </c>
    </row>
    <row r="156" spans="1:3">
      <c r="A156" s="6">
        <v>43536</v>
      </c>
      <c r="B156" s="7">
        <v>92.87</v>
      </c>
      <c r="C156" s="7">
        <v>314.87</v>
      </c>
    </row>
    <row r="157" spans="1:3">
      <c r="A157" s="6">
        <v>43750</v>
      </c>
      <c r="B157" s="7">
        <v>90.35</v>
      </c>
      <c r="C157" s="7">
        <v>317.32</v>
      </c>
    </row>
    <row r="158" spans="1:3">
      <c r="A158" s="5" t="s">
        <v>101</v>
      </c>
      <c r="B158" s="7">
        <v>91.57</v>
      </c>
      <c r="C158" s="7">
        <v>320.73</v>
      </c>
    </row>
    <row r="159" spans="1:3">
      <c r="A159" s="5" t="s">
        <v>102</v>
      </c>
      <c r="B159" s="7">
        <v>92.04</v>
      </c>
      <c r="C159" s="7">
        <v>322.86</v>
      </c>
    </row>
    <row r="160" spans="1:3">
      <c r="A160" s="5" t="s">
        <v>103</v>
      </c>
      <c r="B160" s="7">
        <v>92.27</v>
      </c>
      <c r="C160" s="7">
        <v>322.41000000000003</v>
      </c>
    </row>
    <row r="161" spans="1:3">
      <c r="A161" s="6">
        <v>44013</v>
      </c>
      <c r="B161" s="7">
        <v>92.28</v>
      </c>
      <c r="C161" s="7">
        <v>325.70999999999998</v>
      </c>
    </row>
    <row r="162" spans="1:3">
      <c r="A162" s="5" t="s">
        <v>104</v>
      </c>
      <c r="B162" s="7">
        <v>94.72</v>
      </c>
      <c r="C162" s="7">
        <v>331.95</v>
      </c>
    </row>
    <row r="163" spans="1:3">
      <c r="A163" s="5" t="s">
        <v>105</v>
      </c>
      <c r="B163" s="7">
        <v>95.45</v>
      </c>
      <c r="C163" s="7">
        <v>328.77</v>
      </c>
    </row>
    <row r="164" spans="1:3">
      <c r="A164" s="5" t="s">
        <v>106</v>
      </c>
      <c r="B164" s="7">
        <v>93.93</v>
      </c>
      <c r="C164" s="7">
        <v>321.73</v>
      </c>
    </row>
    <row r="165" spans="1:3">
      <c r="A165" s="6">
        <v>43923</v>
      </c>
      <c r="B165" s="7">
        <v>95.57</v>
      </c>
      <c r="C165" s="7">
        <v>332.2</v>
      </c>
    </row>
    <row r="166" spans="1:3">
      <c r="A166" s="6">
        <v>44137</v>
      </c>
      <c r="B166" s="7">
        <v>99.56</v>
      </c>
      <c r="C166" s="7">
        <v>337.6</v>
      </c>
    </row>
    <row r="167" spans="1:3">
      <c r="A167" s="5" t="s">
        <v>107</v>
      </c>
      <c r="B167" s="7">
        <v>99.57</v>
      </c>
      <c r="C167" s="7">
        <v>333.48</v>
      </c>
    </row>
    <row r="168" spans="1:3">
      <c r="A168" s="5" t="s">
        <v>108</v>
      </c>
      <c r="B168" s="7">
        <v>87.33</v>
      </c>
      <c r="C168" s="7">
        <v>296.26</v>
      </c>
    </row>
    <row r="169" spans="1:3">
      <c r="A169" s="6">
        <v>43893</v>
      </c>
      <c r="B169" s="7">
        <v>90.67</v>
      </c>
      <c r="C169" s="7">
        <v>297.45999999999998</v>
      </c>
    </row>
    <row r="170" spans="1:3">
      <c r="A170" s="6">
        <v>44107</v>
      </c>
      <c r="B170" s="7">
        <v>79.48</v>
      </c>
      <c r="C170" s="7">
        <v>269.32</v>
      </c>
    </row>
    <row r="171" spans="1:3">
      <c r="A171" s="5" t="s">
        <v>109</v>
      </c>
      <c r="B171" s="7">
        <v>59.68</v>
      </c>
      <c r="C171" s="7">
        <v>228.8</v>
      </c>
    </row>
    <row r="172" spans="1:3">
      <c r="A172" s="5" t="s">
        <v>110</v>
      </c>
      <c r="B172" s="7">
        <v>70.05</v>
      </c>
      <c r="C172" s="7">
        <v>253.42</v>
      </c>
    </row>
    <row r="173" spans="1:3">
      <c r="A173" s="5" t="s">
        <v>111</v>
      </c>
      <c r="B173" s="7">
        <v>64.53</v>
      </c>
      <c r="C173" s="7">
        <v>248.19</v>
      </c>
    </row>
    <row r="174" spans="1:3">
      <c r="A174" s="6">
        <v>44016</v>
      </c>
      <c r="B174" s="7">
        <v>78.91</v>
      </c>
      <c r="C174" s="7">
        <v>278.2</v>
      </c>
    </row>
    <row r="175" spans="1:3">
      <c r="A175" s="5" t="s">
        <v>112</v>
      </c>
      <c r="B175" s="7">
        <v>76.11</v>
      </c>
      <c r="C175" s="7">
        <v>286.64</v>
      </c>
    </row>
    <row r="176" spans="1:3">
      <c r="A176" s="5" t="s">
        <v>113</v>
      </c>
      <c r="B176" s="7">
        <v>72.75</v>
      </c>
      <c r="C176" s="7">
        <v>282.97000000000003</v>
      </c>
    </row>
    <row r="177" spans="1:3">
      <c r="A177" s="5" t="s">
        <v>114</v>
      </c>
      <c r="B177" s="7">
        <v>73.540000000000006</v>
      </c>
      <c r="C177" s="7">
        <v>282.79000000000002</v>
      </c>
    </row>
    <row r="178" spans="1:3">
      <c r="A178" s="6">
        <v>43956</v>
      </c>
      <c r="B178" s="7">
        <v>74.989999999999995</v>
      </c>
      <c r="C178" s="7">
        <v>292.44</v>
      </c>
    </row>
    <row r="179" spans="1:3">
      <c r="A179" s="6">
        <v>44170</v>
      </c>
      <c r="B179" s="7">
        <v>68.8</v>
      </c>
      <c r="C179" s="7">
        <v>286.27999999999997</v>
      </c>
    </row>
    <row r="180" spans="1:3">
      <c r="A180" s="5" t="s">
        <v>115</v>
      </c>
      <c r="B180" s="7">
        <v>73.569999999999993</v>
      </c>
      <c r="C180" s="7">
        <v>295.44</v>
      </c>
    </row>
    <row r="181" spans="1:3">
      <c r="A181" s="5" t="s">
        <v>116</v>
      </c>
      <c r="B181" s="7">
        <v>77.430000000000007</v>
      </c>
      <c r="C181" s="7">
        <v>304.32</v>
      </c>
    </row>
    <row r="182" spans="1:3">
      <c r="A182" s="6">
        <v>43867</v>
      </c>
      <c r="B182" s="7">
        <v>84.69</v>
      </c>
      <c r="C182" s="7">
        <v>319.33999999999997</v>
      </c>
    </row>
    <row r="183" spans="1:3">
      <c r="A183" s="6">
        <v>44080</v>
      </c>
      <c r="B183" s="7">
        <v>80.63</v>
      </c>
      <c r="C183" s="7">
        <v>304.20999999999998</v>
      </c>
    </row>
    <row r="184" spans="1:3">
      <c r="A184" s="5" t="s">
        <v>117</v>
      </c>
      <c r="B184" s="7">
        <v>80.09</v>
      </c>
      <c r="C184" s="7">
        <v>308.64</v>
      </c>
    </row>
    <row r="185" spans="1:3">
      <c r="A185" s="5" t="s">
        <v>118</v>
      </c>
      <c r="B185" s="7">
        <v>76.14</v>
      </c>
      <c r="C185" s="7">
        <v>300.05</v>
      </c>
    </row>
    <row r="186" spans="1:3">
      <c r="A186" s="5" t="s">
        <v>119</v>
      </c>
      <c r="B186" s="7">
        <v>80.11</v>
      </c>
      <c r="C186" s="7">
        <v>312.23</v>
      </c>
    </row>
    <row r="187" spans="1:3">
      <c r="A187" s="6">
        <v>44019</v>
      </c>
      <c r="B187" s="7">
        <v>78.12</v>
      </c>
      <c r="C187" s="7">
        <v>317.58999999999997</v>
      </c>
    </row>
    <row r="188" spans="1:3">
      <c r="A188" s="5" t="s">
        <v>120</v>
      </c>
      <c r="B188" s="7">
        <v>78.67</v>
      </c>
      <c r="C188" s="7">
        <v>321.72000000000003</v>
      </c>
    </row>
    <row r="189" spans="1:3">
      <c r="A189" s="5" t="s">
        <v>121</v>
      </c>
      <c r="B189" s="7">
        <v>78.2</v>
      </c>
      <c r="C189" s="7">
        <v>320.88</v>
      </c>
    </row>
    <row r="190" spans="1:3">
      <c r="A190" s="5" t="s">
        <v>122</v>
      </c>
      <c r="B190" s="7">
        <v>81.39</v>
      </c>
      <c r="C190" s="7">
        <v>326.52</v>
      </c>
    </row>
    <row r="191" spans="1:3">
      <c r="A191" s="6">
        <v>43929</v>
      </c>
      <c r="B191" s="7">
        <v>82.39</v>
      </c>
      <c r="C191" s="7">
        <v>334.57</v>
      </c>
    </row>
    <row r="192" spans="1:3">
      <c r="A192" s="6">
        <v>44143</v>
      </c>
      <c r="B192" s="7">
        <v>81.150000000000006</v>
      </c>
      <c r="C192" s="7">
        <v>336.84</v>
      </c>
    </row>
    <row r="193" spans="1:3">
      <c r="A193" s="5" t="s">
        <v>123</v>
      </c>
      <c r="B193" s="7">
        <v>80.88</v>
      </c>
      <c r="C193" s="7">
        <v>339.48</v>
      </c>
    </row>
    <row r="194" spans="1:3">
      <c r="A194" s="5" t="s">
        <v>124</v>
      </c>
      <c r="B194" s="7">
        <v>82.59</v>
      </c>
      <c r="C194" s="7">
        <v>350.58</v>
      </c>
    </row>
    <row r="195" spans="1:3">
      <c r="A195" s="6">
        <v>43839</v>
      </c>
      <c r="B195" s="7">
        <v>81.900000000000006</v>
      </c>
      <c r="C195" s="7">
        <v>342.57</v>
      </c>
    </row>
    <row r="196" spans="1:3">
      <c r="A196" s="6">
        <v>44052</v>
      </c>
      <c r="B196" s="7">
        <v>80.25</v>
      </c>
      <c r="C196" s="7">
        <v>334.06</v>
      </c>
    </row>
    <row r="197" spans="1:3">
      <c r="A197" s="5" t="s">
        <v>125</v>
      </c>
      <c r="B197" s="7">
        <v>80.16</v>
      </c>
      <c r="C197" s="7">
        <v>330.65</v>
      </c>
    </row>
    <row r="198" spans="1:3">
      <c r="A198" s="5" t="s">
        <v>126</v>
      </c>
      <c r="B198" s="7">
        <v>77.7</v>
      </c>
      <c r="C198" s="7">
        <v>328.73</v>
      </c>
    </row>
    <row r="199" spans="1:3">
      <c r="A199" s="5" t="s">
        <v>127</v>
      </c>
      <c r="B199" s="7">
        <v>81.93</v>
      </c>
      <c r="C199" s="7">
        <v>333.84</v>
      </c>
    </row>
    <row r="200" spans="1:3">
      <c r="A200" s="6">
        <v>43992</v>
      </c>
      <c r="B200" s="7">
        <v>83.02</v>
      </c>
      <c r="C200" s="7">
        <v>346.85</v>
      </c>
    </row>
    <row r="201" spans="1:3">
      <c r="A201" s="5" t="s">
        <v>128</v>
      </c>
      <c r="B201" s="7">
        <v>80.819999999999993</v>
      </c>
      <c r="C201" s="7">
        <v>347.29</v>
      </c>
    </row>
    <row r="202" spans="1:3">
      <c r="A202" s="5" t="s">
        <v>129</v>
      </c>
      <c r="B202" s="7">
        <v>80.36</v>
      </c>
      <c r="C202" s="7">
        <v>345.78</v>
      </c>
    </row>
    <row r="203" spans="1:3">
      <c r="A203" s="5" t="s">
        <v>130</v>
      </c>
      <c r="B203" s="7">
        <v>76.59</v>
      </c>
      <c r="C203" s="7">
        <v>326.54000000000002</v>
      </c>
    </row>
    <row r="204" spans="1:3">
      <c r="A204" s="6">
        <v>43901</v>
      </c>
      <c r="B204" s="7">
        <v>79.900000000000006</v>
      </c>
      <c r="C204" s="7">
        <v>350.16</v>
      </c>
    </row>
    <row r="205" spans="1:3">
      <c r="A205" s="6">
        <v>44115</v>
      </c>
      <c r="B205" s="7">
        <v>85.38</v>
      </c>
      <c r="C205" s="7">
        <v>358.1</v>
      </c>
    </row>
    <row r="206" spans="1:3">
      <c r="A206" s="5" t="s">
        <v>131</v>
      </c>
      <c r="B206" s="7">
        <v>84.61</v>
      </c>
      <c r="C206" s="7">
        <v>355.33</v>
      </c>
    </row>
    <row r="207" spans="1:3">
      <c r="A207" s="5" t="s">
        <v>132</v>
      </c>
      <c r="B207" s="7">
        <v>84.89</v>
      </c>
      <c r="C207" s="7">
        <v>363.67</v>
      </c>
    </row>
    <row r="208" spans="1:3">
      <c r="A208" s="6">
        <v>43842</v>
      </c>
      <c r="B208" s="7">
        <v>86.42</v>
      </c>
      <c r="C208" s="7">
        <v>369.85</v>
      </c>
    </row>
    <row r="209" spans="1:3">
      <c r="A209" s="6">
        <v>44055</v>
      </c>
      <c r="B209" s="7">
        <v>84.39</v>
      </c>
      <c r="C209" s="7">
        <v>366.3</v>
      </c>
    </row>
    <row r="210" spans="1:3">
      <c r="A210" s="5" t="s">
        <v>133</v>
      </c>
      <c r="B210" s="7">
        <v>84.93</v>
      </c>
      <c r="C210" s="7">
        <v>369.18</v>
      </c>
    </row>
    <row r="211" spans="1:3">
      <c r="A211" s="5" t="s">
        <v>134</v>
      </c>
      <c r="B211" s="7">
        <v>83.88</v>
      </c>
      <c r="C211" s="7">
        <v>369</v>
      </c>
    </row>
    <row r="212" spans="1:3">
      <c r="A212" s="5" t="s">
        <v>135</v>
      </c>
      <c r="B212" s="7">
        <v>84.93</v>
      </c>
      <c r="C212" s="7">
        <v>373.88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33261-4AC2-4DAA-91E1-8E82B99C52F0}">
  <sheetPr codeName="Sheet1"/>
  <dimension ref="A1:R107"/>
  <sheetViews>
    <sheetView tabSelected="1" zoomScale="115" zoomScaleNormal="115" workbookViewId="0">
      <pane ySplit="1" topLeftCell="A94" activePane="bottomLeft" state="frozen"/>
      <selection pane="bottomLeft" activeCell="G117" sqref="G117"/>
    </sheetView>
  </sheetViews>
  <sheetFormatPr defaultRowHeight="14.25"/>
  <cols>
    <col min="1" max="1" width="10.140625" customWidth="1"/>
    <col min="2" max="2" width="13.85546875" style="2" bestFit="1" customWidth="1"/>
    <col min="3" max="3" width="16.42578125" style="2" customWidth="1"/>
    <col min="4" max="5" width="9.140625" style="3"/>
    <col min="9" max="9" width="15" bestFit="1" customWidth="1"/>
    <col min="10" max="10" width="14.42578125" bestFit="1" customWidth="1"/>
  </cols>
  <sheetData>
    <row r="1" spans="1:18">
      <c r="A1" t="s">
        <v>0</v>
      </c>
      <c r="B1" s="2" t="s">
        <v>1</v>
      </c>
      <c r="C1" s="2" t="s">
        <v>2</v>
      </c>
      <c r="D1" s="3" t="s">
        <v>136</v>
      </c>
      <c r="E1" s="3" t="s">
        <v>137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</row>
    <row r="2" spans="1:18" ht="15" customHeight="1">
      <c r="B2" s="2" t="str" cm="1">
        <f t="array" aca="1" ref="B2:B107" ca="1">_xlfn.STOCKHISTORY("VNQ", DATE(2007,1,1), DATE(2008,12,31), 1, 1, 1)</f>
        <v>Close</v>
      </c>
      <c r="C2" s="2" t="str" cm="1">
        <f t="array" aca="1" ref="C2:C107" ca="1">_xlfn.STOCKHISTORY("SPY", "2007-01-01", "2008-12-31", 1, 1, 1)</f>
        <v>Close</v>
      </c>
      <c r="H2" cm="1">
        <f t="array" ref="H2">KendallTau(F3:F106, G3:G106)</f>
        <v>0.58961911874533235</v>
      </c>
      <c r="I2">
        <f>SIN((PI()*H2/2))</f>
        <v>0.79932529184532519</v>
      </c>
      <c r="J2" s="4">
        <f>CORREL(D3:D106, E3:E106)</f>
        <v>0.78009469080326743</v>
      </c>
      <c r="K2" s="4">
        <f>J2*(SQRT((1-J2^2)/(MAX(F:F)-2)))</f>
        <v>4.832664501179023E-2</v>
      </c>
      <c r="L2" s="4"/>
      <c r="M2" s="4"/>
      <c r="N2" s="4"/>
      <c r="O2" s="4"/>
      <c r="P2" s="4"/>
      <c r="Q2" s="4"/>
      <c r="R2" s="4"/>
    </row>
    <row r="3" spans="1:18">
      <c r="A3" s="1">
        <v>39083</v>
      </c>
      <c r="B3" s="2" vm="1">
        <f ca="1"/>
        <v>75.790000000000006</v>
      </c>
      <c r="C3" s="2" vm="2">
        <f ca="1"/>
        <v>140.54</v>
      </c>
      <c r="D3" s="3">
        <v>4.3805251352421103E-2</v>
      </c>
      <c r="E3" s="3">
        <v>1.9211612352355325E-2</v>
      </c>
      <c r="F3">
        <f>RANK(D3, $D$3:$D$106, 1)</f>
        <v>95</v>
      </c>
      <c r="G3">
        <f>RANK(E3, $E$3:$E$106, 1)</f>
        <v>86</v>
      </c>
      <c r="J3" s="4"/>
      <c r="K3" s="4"/>
      <c r="L3" s="4"/>
      <c r="M3" s="4"/>
      <c r="N3" s="4"/>
      <c r="O3" s="4"/>
      <c r="P3" s="4"/>
      <c r="Q3" s="4"/>
      <c r="R3" s="4"/>
    </row>
    <row r="4" spans="1:18">
      <c r="A4" s="1">
        <f>A3+7</f>
        <v>39090</v>
      </c>
      <c r="B4" s="2" vm="3">
        <f ca="1"/>
        <v>79.11</v>
      </c>
      <c r="C4" s="2" vm="4">
        <f ca="1"/>
        <v>143.24</v>
      </c>
      <c r="D4" s="3">
        <v>2.2626722285425435E-2</v>
      </c>
      <c r="E4" s="3">
        <v>-2.932141859815805E-3</v>
      </c>
      <c r="F4">
        <f t="shared" ref="F4:F67" si="0">RANK(D4, $D$3:$D$106, 1)</f>
        <v>77</v>
      </c>
      <c r="G4">
        <f t="shared" ref="G4:G67" si="1">RANK(E4, $E$3:$E$106, 1)</f>
        <v>51</v>
      </c>
      <c r="J4" s="4"/>
      <c r="K4" s="4"/>
      <c r="L4" s="4"/>
      <c r="M4" s="4"/>
      <c r="N4" s="4"/>
      <c r="O4" s="4"/>
      <c r="P4" s="4"/>
      <c r="Q4" s="4"/>
      <c r="R4" s="4"/>
    </row>
    <row r="5" spans="1:18">
      <c r="A5" s="1">
        <f t="shared" ref="A5:A68" si="2">A4+7</f>
        <v>39097</v>
      </c>
      <c r="B5" s="2" vm="5">
        <f ca="1"/>
        <v>80.900000000000006</v>
      </c>
      <c r="C5" s="2" vm="6">
        <f ca="1"/>
        <v>142.82</v>
      </c>
      <c r="D5" s="3">
        <v>1.8788627935723064E-2</v>
      </c>
      <c r="E5" s="3">
        <v>-4.6212015123931983E-3</v>
      </c>
      <c r="F5">
        <f t="shared" si="0"/>
        <v>73</v>
      </c>
      <c r="G5">
        <f t="shared" si="1"/>
        <v>46</v>
      </c>
      <c r="J5" s="4"/>
      <c r="K5" s="4"/>
      <c r="L5" s="4"/>
      <c r="M5" s="4"/>
      <c r="N5" s="4"/>
      <c r="O5" s="4"/>
      <c r="P5" s="4"/>
      <c r="Q5" s="4"/>
      <c r="R5" s="4"/>
    </row>
    <row r="6" spans="1:18">
      <c r="A6" s="1">
        <f t="shared" si="2"/>
        <v>39104</v>
      </c>
      <c r="B6" s="2" vm="7">
        <f ca="1"/>
        <v>82.42</v>
      </c>
      <c r="C6" s="2" vm="8">
        <f ca="1"/>
        <v>142.16</v>
      </c>
      <c r="D6" s="3">
        <v>2.2082018927444713E-2</v>
      </c>
      <c r="E6" s="3">
        <v>1.8640967923466558E-2</v>
      </c>
      <c r="F6">
        <f t="shared" si="0"/>
        <v>76</v>
      </c>
      <c r="G6">
        <f t="shared" si="1"/>
        <v>84</v>
      </c>
      <c r="J6" s="4"/>
      <c r="K6" s="4"/>
      <c r="L6" s="4"/>
      <c r="M6" s="4"/>
      <c r="N6" s="4"/>
      <c r="O6" s="4"/>
      <c r="P6" s="4"/>
      <c r="Q6" s="4"/>
      <c r="R6" s="4"/>
    </row>
    <row r="7" spans="1:18">
      <c r="A7" s="1">
        <f t="shared" si="2"/>
        <v>39111</v>
      </c>
      <c r="B7" s="2" vm="9">
        <f ca="1"/>
        <v>84.24</v>
      </c>
      <c r="C7" s="2" vm="10">
        <f ca="1"/>
        <v>144.81</v>
      </c>
      <c r="D7" s="3">
        <v>1.6144349477682805E-2</v>
      </c>
      <c r="E7" s="3">
        <v>-6.0078723845038637E-3</v>
      </c>
      <c r="F7">
        <f t="shared" si="0"/>
        <v>71</v>
      </c>
      <c r="G7">
        <f t="shared" si="1"/>
        <v>43</v>
      </c>
      <c r="J7" s="4"/>
      <c r="K7" s="4"/>
      <c r="L7" s="4"/>
      <c r="M7" s="4"/>
      <c r="N7" s="4"/>
      <c r="O7" s="4"/>
      <c r="P7" s="4"/>
      <c r="Q7" s="4"/>
      <c r="R7" s="4"/>
    </row>
    <row r="8" spans="1:18">
      <c r="A8" s="1">
        <f t="shared" si="2"/>
        <v>39118</v>
      </c>
      <c r="B8" s="2" vm="11">
        <f ca="1"/>
        <v>85.6</v>
      </c>
      <c r="C8" s="2" vm="12">
        <f ca="1"/>
        <v>143.94</v>
      </c>
      <c r="D8" s="3">
        <v>-1.4018691588783918E-3</v>
      </c>
      <c r="E8" s="3">
        <v>1.2435737112685787E-2</v>
      </c>
      <c r="F8">
        <f t="shared" si="0"/>
        <v>52</v>
      </c>
      <c r="G8">
        <f t="shared" si="1"/>
        <v>73</v>
      </c>
      <c r="J8" s="4"/>
      <c r="K8" s="4"/>
      <c r="L8" s="4"/>
      <c r="M8" s="4"/>
      <c r="N8" s="4"/>
      <c r="O8" s="4"/>
      <c r="P8" s="4"/>
      <c r="Q8" s="4"/>
      <c r="R8" s="4"/>
    </row>
    <row r="9" spans="1:18">
      <c r="A9" s="1">
        <f t="shared" si="2"/>
        <v>39125</v>
      </c>
      <c r="B9" s="2" vm="13">
        <f ca="1"/>
        <v>85.48</v>
      </c>
      <c r="C9" s="2" vm="14">
        <f ca="1"/>
        <v>145.72999999999999</v>
      </c>
      <c r="D9" s="3">
        <v>-1.8366869443144682E-2</v>
      </c>
      <c r="E9" s="3">
        <v>-2.9506621834898676E-3</v>
      </c>
      <c r="F9">
        <f t="shared" si="0"/>
        <v>39</v>
      </c>
      <c r="G9">
        <f t="shared" si="1"/>
        <v>50</v>
      </c>
      <c r="J9" s="4"/>
      <c r="K9" s="4"/>
      <c r="L9" s="4"/>
      <c r="M9" s="4"/>
      <c r="N9" s="4"/>
      <c r="O9" s="4"/>
      <c r="P9" s="4"/>
      <c r="Q9" s="4"/>
      <c r="R9" s="4"/>
    </row>
    <row r="10" spans="1:18">
      <c r="A10" s="1">
        <f t="shared" si="2"/>
        <v>39132</v>
      </c>
      <c r="B10" s="2" vm="15">
        <f ca="1"/>
        <v>83.91</v>
      </c>
      <c r="C10" s="2" vm="16">
        <f ca="1"/>
        <v>145.30000000000001</v>
      </c>
      <c r="D10" s="3">
        <v>-5.3748063401263153E-2</v>
      </c>
      <c r="E10" s="3">
        <v>-4.5629731589814336E-2</v>
      </c>
      <c r="F10">
        <f t="shared" si="0"/>
        <v>16</v>
      </c>
      <c r="G10">
        <f t="shared" si="1"/>
        <v>9</v>
      </c>
      <c r="J10" s="4"/>
      <c r="K10" s="4"/>
      <c r="L10" s="4" t="s">
        <v>144</v>
      </c>
      <c r="M10" s="4"/>
      <c r="N10" s="4"/>
      <c r="O10" s="4"/>
      <c r="P10" s="4"/>
      <c r="Q10" s="4"/>
      <c r="R10" s="4"/>
    </row>
    <row r="11" spans="1:18">
      <c r="A11" s="1">
        <f t="shared" si="2"/>
        <v>39139</v>
      </c>
      <c r="B11" s="2" vm="17">
        <f ca="1"/>
        <v>79.400000000000006</v>
      </c>
      <c r="C11" s="2" vm="18">
        <f ca="1"/>
        <v>138.66999999999999</v>
      </c>
      <c r="D11" s="3">
        <v>1.133501259445833E-2</v>
      </c>
      <c r="E11" s="3">
        <v>1.5215980385086997E-2</v>
      </c>
      <c r="F11">
        <f t="shared" si="0"/>
        <v>69</v>
      </c>
      <c r="G11">
        <f t="shared" si="1"/>
        <v>78</v>
      </c>
      <c r="J11" s="4"/>
      <c r="K11" s="4"/>
      <c r="L11" s="4"/>
      <c r="M11" s="4"/>
      <c r="N11" s="4"/>
      <c r="O11" s="4"/>
      <c r="P11" s="4"/>
      <c r="Q11" s="4"/>
      <c r="R11" s="4"/>
    </row>
    <row r="12" spans="1:18">
      <c r="A12" s="1">
        <f t="shared" si="2"/>
        <v>39146</v>
      </c>
      <c r="B12" s="2" vm="19">
        <f ca="1"/>
        <v>80.3</v>
      </c>
      <c r="C12" s="2" vm="20">
        <f ca="1"/>
        <v>140.78</v>
      </c>
      <c r="D12" s="3">
        <v>-1.6189290161892866E-2</v>
      </c>
      <c r="E12" s="3">
        <v>-1.598238386134394E-2</v>
      </c>
      <c r="F12">
        <f t="shared" si="0"/>
        <v>41</v>
      </c>
      <c r="G12">
        <f t="shared" si="1"/>
        <v>28</v>
      </c>
      <c r="J12" s="4"/>
      <c r="K12" s="4"/>
      <c r="L12" s="4"/>
      <c r="M12" s="4"/>
      <c r="N12" s="4"/>
      <c r="O12" s="4"/>
      <c r="P12" s="4"/>
      <c r="Q12" s="4"/>
      <c r="R12" s="4"/>
    </row>
    <row r="13" spans="1:18">
      <c r="A13" s="1">
        <f t="shared" si="2"/>
        <v>39153</v>
      </c>
      <c r="B13" s="2" vm="21">
        <f ca="1"/>
        <v>79</v>
      </c>
      <c r="C13" s="2" vm="22">
        <f ca="1"/>
        <v>138.53</v>
      </c>
      <c r="D13" s="3">
        <v>2.7974683544303717E-2</v>
      </c>
      <c r="E13" s="3">
        <v>3.5082653576842454E-2</v>
      </c>
      <c r="F13">
        <f t="shared" si="0"/>
        <v>83</v>
      </c>
      <c r="G13">
        <f t="shared" si="1"/>
        <v>97</v>
      </c>
      <c r="J13" s="4"/>
      <c r="K13" s="4"/>
      <c r="L13" s="4"/>
      <c r="M13" s="4"/>
      <c r="N13" s="4"/>
      <c r="O13" s="4"/>
      <c r="P13" s="4"/>
      <c r="Q13" s="4"/>
      <c r="R13" s="4"/>
    </row>
    <row r="14" spans="1:18">
      <c r="A14" s="1">
        <f t="shared" si="2"/>
        <v>39160</v>
      </c>
      <c r="B14" s="2" vm="23">
        <f ca="1"/>
        <v>81.209999999999994</v>
      </c>
      <c r="C14" s="2" vm="24">
        <f ca="1"/>
        <v>143.38999999999999</v>
      </c>
      <c r="D14" s="3">
        <v>-2.2903583302548942E-2</v>
      </c>
      <c r="E14" s="3">
        <v>-9.6938419694538418E-3</v>
      </c>
      <c r="F14">
        <f t="shared" si="0"/>
        <v>33</v>
      </c>
      <c r="G14">
        <f t="shared" si="1"/>
        <v>35</v>
      </c>
      <c r="J14" s="4"/>
      <c r="K14" s="4"/>
      <c r="L14" s="4"/>
      <c r="M14" s="4"/>
      <c r="N14" s="4"/>
      <c r="O14" s="4"/>
      <c r="P14" s="4"/>
      <c r="Q14" s="4"/>
      <c r="R14" s="4"/>
    </row>
    <row r="15" spans="1:18">
      <c r="A15" s="1">
        <f t="shared" si="2"/>
        <v>39167</v>
      </c>
      <c r="B15" s="2" vm="25">
        <f ca="1"/>
        <v>79.349999999999994</v>
      </c>
      <c r="C15" s="2" vm="26">
        <f ca="1"/>
        <v>142</v>
      </c>
      <c r="D15" s="3">
        <v>9.0737240075614237E-3</v>
      </c>
      <c r="E15" s="3">
        <v>1.5774647887324009E-2</v>
      </c>
      <c r="F15">
        <f t="shared" si="0"/>
        <v>65</v>
      </c>
      <c r="G15">
        <f t="shared" si="1"/>
        <v>81</v>
      </c>
      <c r="J15" s="4"/>
      <c r="K15" s="4"/>
      <c r="L15" s="4"/>
      <c r="M15" s="4"/>
      <c r="N15" s="4"/>
      <c r="O15" s="4"/>
      <c r="P15" s="4"/>
      <c r="Q15" s="4"/>
      <c r="R15" s="4"/>
    </row>
    <row r="16" spans="1:18">
      <c r="A16" s="1">
        <f t="shared" si="2"/>
        <v>39174</v>
      </c>
      <c r="B16" s="2" vm="27">
        <f ca="1"/>
        <v>80.069999999999993</v>
      </c>
      <c r="C16" s="2" vm="28">
        <f ca="1"/>
        <v>144.24</v>
      </c>
      <c r="D16" s="3">
        <v>-4.6209566629198248E-3</v>
      </c>
      <c r="E16" s="3">
        <v>7.4875207986687745E-3</v>
      </c>
      <c r="F16">
        <f t="shared" si="0"/>
        <v>51</v>
      </c>
      <c r="G16">
        <f t="shared" si="1"/>
        <v>67</v>
      </c>
      <c r="J16" s="4"/>
      <c r="K16" s="4"/>
      <c r="L16" s="4"/>
      <c r="M16" s="4"/>
      <c r="N16" s="4"/>
      <c r="O16" s="4"/>
      <c r="P16" s="4"/>
      <c r="Q16" s="4"/>
      <c r="R16" s="4"/>
    </row>
    <row r="17" spans="1:18">
      <c r="A17" s="1">
        <f t="shared" si="2"/>
        <v>39181</v>
      </c>
      <c r="B17" s="2" vm="29">
        <f ca="1"/>
        <v>79.7</v>
      </c>
      <c r="C17" s="2" vm="30">
        <f ca="1"/>
        <v>145.32</v>
      </c>
      <c r="D17" s="3">
        <v>8.7829360100376772E-3</v>
      </c>
      <c r="E17" s="3">
        <v>2.2708505367464986E-2</v>
      </c>
      <c r="F17">
        <f t="shared" si="0"/>
        <v>63</v>
      </c>
      <c r="G17">
        <f t="shared" si="1"/>
        <v>91</v>
      </c>
      <c r="J17" s="4"/>
      <c r="K17" s="4"/>
      <c r="L17" s="4"/>
      <c r="M17" s="4"/>
      <c r="N17" s="4"/>
      <c r="O17" s="4"/>
      <c r="P17" s="4"/>
      <c r="Q17" s="4"/>
      <c r="R17" s="4"/>
    </row>
    <row r="18" spans="1:18">
      <c r="A18" s="1">
        <f t="shared" si="2"/>
        <v>39188</v>
      </c>
      <c r="B18" s="2" vm="31">
        <f ca="1"/>
        <v>80.400000000000006</v>
      </c>
      <c r="C18" s="2" vm="32">
        <f ca="1"/>
        <v>148.62</v>
      </c>
      <c r="D18" s="3">
        <v>1.8656716417909385E-3</v>
      </c>
      <c r="E18" s="3">
        <v>6.1229982505719054E-3</v>
      </c>
      <c r="F18">
        <f t="shared" si="0"/>
        <v>55</v>
      </c>
      <c r="G18">
        <f t="shared" si="1"/>
        <v>62</v>
      </c>
      <c r="J18" s="4"/>
      <c r="K18" s="4"/>
      <c r="L18" s="4"/>
      <c r="M18" s="4"/>
      <c r="N18" s="4"/>
      <c r="O18" s="4"/>
      <c r="P18" s="4"/>
      <c r="Q18" s="4"/>
      <c r="R18" s="4"/>
    </row>
    <row r="19" spans="1:18">
      <c r="A19" s="1">
        <f t="shared" si="2"/>
        <v>39195</v>
      </c>
      <c r="B19" s="2" vm="33">
        <f ca="1"/>
        <v>80.55</v>
      </c>
      <c r="C19" s="2" vm="34">
        <f ca="1"/>
        <v>149.53</v>
      </c>
      <c r="D19" s="3">
        <v>-2.2967101179391613E-2</v>
      </c>
      <c r="E19" s="3">
        <v>9.2957934862568474E-3</v>
      </c>
      <c r="F19">
        <f t="shared" si="0"/>
        <v>32</v>
      </c>
      <c r="G19">
        <f t="shared" si="1"/>
        <v>69</v>
      </c>
      <c r="J19" s="4"/>
      <c r="K19" s="4"/>
      <c r="L19" s="4"/>
      <c r="M19" s="4"/>
      <c r="N19" s="4"/>
      <c r="O19" s="4"/>
      <c r="P19" s="4"/>
      <c r="Q19" s="4"/>
      <c r="R19" s="4"/>
    </row>
    <row r="20" spans="1:18">
      <c r="A20" s="1">
        <f t="shared" si="2"/>
        <v>39202</v>
      </c>
      <c r="B20" s="2" vm="35">
        <f ca="1"/>
        <v>78.7</v>
      </c>
      <c r="C20" s="2" vm="36">
        <f ca="1"/>
        <v>150.91999999999999</v>
      </c>
      <c r="D20" s="3">
        <v>6.9885641677255037E-3</v>
      </c>
      <c r="E20" s="3">
        <v>-3.9756162205124477E-4</v>
      </c>
      <c r="F20">
        <f t="shared" si="0"/>
        <v>61</v>
      </c>
      <c r="G20">
        <f t="shared" si="1"/>
        <v>55</v>
      </c>
      <c r="J20" s="4"/>
      <c r="K20" s="4"/>
      <c r="L20" s="4"/>
      <c r="M20" s="4"/>
      <c r="N20" s="4"/>
      <c r="O20" s="4"/>
      <c r="P20" s="4"/>
      <c r="Q20" s="4"/>
      <c r="R20" s="4"/>
    </row>
    <row r="21" spans="1:18">
      <c r="A21" s="1">
        <f t="shared" si="2"/>
        <v>39209</v>
      </c>
      <c r="B21" s="2" vm="37">
        <f ca="1"/>
        <v>79.25</v>
      </c>
      <c r="C21" s="2" vm="38">
        <f ca="1"/>
        <v>150.86000000000001</v>
      </c>
      <c r="D21" s="3">
        <v>-5.9305993690851773E-2</v>
      </c>
      <c r="E21" s="3">
        <v>1.1666445711255408E-2</v>
      </c>
      <c r="F21">
        <f t="shared" si="0"/>
        <v>14</v>
      </c>
      <c r="G21">
        <f t="shared" si="1"/>
        <v>70</v>
      </c>
      <c r="J21" s="4"/>
      <c r="K21" s="4"/>
      <c r="L21" s="4"/>
      <c r="M21" s="4"/>
      <c r="N21" s="4"/>
      <c r="O21" s="4"/>
      <c r="P21" s="4"/>
      <c r="Q21" s="4"/>
      <c r="R21" s="4"/>
    </row>
    <row r="22" spans="1:18">
      <c r="A22" s="1">
        <f t="shared" si="2"/>
        <v>39216</v>
      </c>
      <c r="B22" s="2" vm="39">
        <f ca="1"/>
        <v>74.55</v>
      </c>
      <c r="C22" s="2" vm="40">
        <f ca="1"/>
        <v>152.62</v>
      </c>
      <c r="D22" s="3">
        <v>-1.3413816230705439E-4</v>
      </c>
      <c r="E22" s="3">
        <v>-6.0935657187787106E-3</v>
      </c>
      <c r="F22">
        <f t="shared" si="0"/>
        <v>54</v>
      </c>
      <c r="G22">
        <f t="shared" si="1"/>
        <v>42</v>
      </c>
      <c r="J22" s="4"/>
      <c r="K22" s="4"/>
      <c r="L22" s="4"/>
      <c r="M22" s="4"/>
      <c r="N22" s="4"/>
      <c r="O22" s="4"/>
      <c r="P22" s="4"/>
      <c r="Q22" s="4"/>
      <c r="R22" s="4"/>
    </row>
    <row r="23" spans="1:18">
      <c r="A23" s="1">
        <f t="shared" si="2"/>
        <v>39223</v>
      </c>
      <c r="B23" s="2" vm="41">
        <f ca="1"/>
        <v>74.540000000000006</v>
      </c>
      <c r="C23" s="2" vm="42">
        <f ca="1"/>
        <v>151.69</v>
      </c>
      <c r="D23" s="3">
        <v>6.0638583310973916E-2</v>
      </c>
      <c r="E23" s="3">
        <v>1.5755817786274738E-2</v>
      </c>
      <c r="F23">
        <f t="shared" si="0"/>
        <v>97</v>
      </c>
      <c r="G23">
        <f t="shared" si="1"/>
        <v>80</v>
      </c>
      <c r="J23" s="4"/>
      <c r="K23" s="4"/>
      <c r="L23" s="4"/>
      <c r="M23" s="4"/>
      <c r="N23" s="4"/>
      <c r="O23" s="4"/>
      <c r="P23" s="4"/>
      <c r="Q23" s="4"/>
      <c r="R23" s="4"/>
    </row>
    <row r="24" spans="1:18">
      <c r="A24" s="1">
        <f t="shared" si="2"/>
        <v>39230</v>
      </c>
      <c r="B24" s="2" vm="43">
        <f ca="1"/>
        <v>79.06</v>
      </c>
      <c r="C24" s="2" vm="44">
        <f ca="1"/>
        <v>154.08000000000001</v>
      </c>
      <c r="D24" s="3">
        <v>-3.8072350113837652E-2</v>
      </c>
      <c r="E24" s="3">
        <v>-1.9730010384216123E-2</v>
      </c>
      <c r="F24">
        <f t="shared" si="0"/>
        <v>22</v>
      </c>
      <c r="G24">
        <f t="shared" si="1"/>
        <v>24</v>
      </c>
      <c r="J24" s="4"/>
      <c r="K24" s="4"/>
      <c r="L24" s="4"/>
      <c r="M24" s="4"/>
      <c r="N24" s="4"/>
      <c r="O24" s="4"/>
      <c r="P24" s="4"/>
      <c r="Q24" s="4"/>
      <c r="R24" s="4"/>
    </row>
    <row r="25" spans="1:18">
      <c r="A25" s="1">
        <f t="shared" si="2"/>
        <v>39237</v>
      </c>
      <c r="B25" s="2" vm="45">
        <f ca="1"/>
        <v>76.05</v>
      </c>
      <c r="C25" s="2" vm="46">
        <f ca="1"/>
        <v>151.04</v>
      </c>
      <c r="D25" s="3">
        <v>-1.0519395134779713E-2</v>
      </c>
      <c r="E25" s="3">
        <v>1.3440148305084753E-2</v>
      </c>
      <c r="F25">
        <f t="shared" si="0"/>
        <v>42</v>
      </c>
      <c r="G25">
        <f t="shared" si="1"/>
        <v>75</v>
      </c>
      <c r="J25" s="4"/>
      <c r="K25" s="4"/>
      <c r="L25" s="4"/>
      <c r="M25" s="4"/>
      <c r="N25" s="4"/>
      <c r="O25" s="4"/>
      <c r="P25" s="4"/>
      <c r="Q25" s="4"/>
      <c r="R25" s="4"/>
    </row>
    <row r="26" spans="1:18">
      <c r="A26" s="1">
        <f t="shared" si="2"/>
        <v>39244</v>
      </c>
      <c r="B26" s="2" vm="47">
        <f ca="1"/>
        <v>75.25</v>
      </c>
      <c r="C26" s="2" vm="48">
        <f ca="1"/>
        <v>153.07</v>
      </c>
      <c r="D26" s="3">
        <v>-4.1461794019933614E-2</v>
      </c>
      <c r="E26" s="3">
        <v>-1.6463056118115778E-2</v>
      </c>
      <c r="F26">
        <f t="shared" si="0"/>
        <v>20</v>
      </c>
      <c r="G26">
        <f t="shared" si="1"/>
        <v>27</v>
      </c>
      <c r="J26" s="4"/>
      <c r="K26" s="4"/>
      <c r="L26" s="4"/>
      <c r="M26" s="4"/>
      <c r="N26" s="4"/>
      <c r="O26" s="4"/>
      <c r="P26" s="4"/>
      <c r="Q26" s="4"/>
      <c r="R26" s="4"/>
    </row>
    <row r="27" spans="1:18">
      <c r="A27" s="1">
        <f t="shared" si="2"/>
        <v>39251</v>
      </c>
      <c r="B27" s="2" vm="49">
        <f ca="1"/>
        <v>72.13</v>
      </c>
      <c r="C27" s="2" vm="50">
        <f ca="1"/>
        <v>150.55000000000001</v>
      </c>
      <c r="D27" s="3">
        <v>-1.6359351171495808E-2</v>
      </c>
      <c r="E27" s="3">
        <v>-7.970773829292895E-4</v>
      </c>
      <c r="F27">
        <f t="shared" si="0"/>
        <v>40</v>
      </c>
      <c r="G27">
        <f t="shared" si="1"/>
        <v>53</v>
      </c>
    </row>
    <row r="28" spans="1:18">
      <c r="A28" s="1">
        <f t="shared" si="2"/>
        <v>39258</v>
      </c>
      <c r="B28" s="2" vm="51">
        <f ca="1"/>
        <v>70.95</v>
      </c>
      <c r="C28" s="2" vm="52">
        <f ca="1"/>
        <v>150.43</v>
      </c>
      <c r="D28" s="3">
        <v>3.4390415785764593E-2</v>
      </c>
      <c r="E28" s="3">
        <v>1.6951405969553832E-2</v>
      </c>
      <c r="F28">
        <f t="shared" si="0"/>
        <v>87</v>
      </c>
      <c r="G28">
        <f t="shared" si="1"/>
        <v>82</v>
      </c>
    </row>
    <row r="29" spans="1:18">
      <c r="A29" s="1">
        <f t="shared" si="2"/>
        <v>39265</v>
      </c>
      <c r="B29" s="2" vm="53">
        <f ca="1"/>
        <v>73.39</v>
      </c>
      <c r="C29" s="2" vm="54">
        <f ca="1"/>
        <v>152.97999999999999</v>
      </c>
      <c r="D29" s="3">
        <v>-5.9953672162419641E-3</v>
      </c>
      <c r="E29" s="3">
        <v>1.2223820107203586E-2</v>
      </c>
      <c r="F29">
        <f t="shared" si="0"/>
        <v>48</v>
      </c>
      <c r="G29">
        <f t="shared" si="1"/>
        <v>72</v>
      </c>
    </row>
    <row r="30" spans="1:18">
      <c r="A30" s="1">
        <f t="shared" si="2"/>
        <v>39272</v>
      </c>
      <c r="B30" s="2" vm="55">
        <f ca="1"/>
        <v>72.95</v>
      </c>
      <c r="C30" s="2" vm="56">
        <f ca="1"/>
        <v>154.85</v>
      </c>
      <c r="D30" s="3">
        <v>-2.7690198766278217E-2</v>
      </c>
      <c r="E30" s="3">
        <v>-8.7181143041652857E-3</v>
      </c>
      <c r="F30">
        <f t="shared" si="0"/>
        <v>29</v>
      </c>
      <c r="G30">
        <f t="shared" si="1"/>
        <v>39</v>
      </c>
    </row>
    <row r="31" spans="1:18">
      <c r="A31" s="1">
        <f t="shared" si="2"/>
        <v>39279</v>
      </c>
      <c r="B31" s="2" vm="57">
        <f ca="1"/>
        <v>70.930000000000007</v>
      </c>
      <c r="C31" s="2" vm="58">
        <f ca="1"/>
        <v>153.5</v>
      </c>
      <c r="D31" s="3">
        <v>-9.6151134921753936E-2</v>
      </c>
      <c r="E31" s="3">
        <v>-5.4657980456025969E-2</v>
      </c>
      <c r="F31">
        <f t="shared" si="0"/>
        <v>6</v>
      </c>
      <c r="G31">
        <f t="shared" si="1"/>
        <v>7</v>
      </c>
    </row>
    <row r="32" spans="1:18">
      <c r="A32" s="1">
        <f t="shared" si="2"/>
        <v>39286</v>
      </c>
      <c r="B32" s="2" vm="59">
        <f ca="1"/>
        <v>64.11</v>
      </c>
      <c r="C32" s="2" vm="60">
        <f ca="1"/>
        <v>145.11000000000001</v>
      </c>
      <c r="D32" s="3">
        <v>5.3033848073623996E-3</v>
      </c>
      <c r="E32" s="3">
        <v>-9.027634208531473E-3</v>
      </c>
      <c r="F32">
        <f t="shared" si="0"/>
        <v>60</v>
      </c>
      <c r="G32">
        <f t="shared" si="1"/>
        <v>37</v>
      </c>
    </row>
    <row r="33" spans="1:7">
      <c r="A33" s="1">
        <f t="shared" si="2"/>
        <v>39293</v>
      </c>
      <c r="B33" s="2" vm="61">
        <f ca="1"/>
        <v>64.45</v>
      </c>
      <c r="C33" s="2" vm="62">
        <f ca="1"/>
        <v>143.80000000000001</v>
      </c>
      <c r="D33" s="3">
        <v>3.7548487199379386E-2</v>
      </c>
      <c r="E33" s="3">
        <v>6.3282336578581117E-3</v>
      </c>
      <c r="F33">
        <f t="shared" si="0"/>
        <v>90</v>
      </c>
      <c r="G33">
        <f t="shared" si="1"/>
        <v>64</v>
      </c>
    </row>
    <row r="34" spans="1:7">
      <c r="A34" s="1">
        <f t="shared" si="2"/>
        <v>39300</v>
      </c>
      <c r="B34" s="2" vm="63">
        <f ca="1"/>
        <v>66.87</v>
      </c>
      <c r="C34" s="2" vm="64">
        <f ca="1"/>
        <v>144.71</v>
      </c>
      <c r="D34" s="3">
        <v>1.0916704052639297E-2</v>
      </c>
      <c r="E34" s="3">
        <v>0</v>
      </c>
      <c r="F34">
        <f t="shared" si="0"/>
        <v>68</v>
      </c>
      <c r="G34">
        <f t="shared" si="1"/>
        <v>56</v>
      </c>
    </row>
    <row r="35" spans="1:7">
      <c r="A35" s="1">
        <f t="shared" si="2"/>
        <v>39307</v>
      </c>
      <c r="B35" s="2" vm="65">
        <f ca="1"/>
        <v>67.599999999999994</v>
      </c>
      <c r="C35" s="2" vm="64">
        <f ca="1"/>
        <v>144.71</v>
      </c>
      <c r="D35" s="3">
        <v>2.3224852071006028E-2</v>
      </c>
      <c r="E35" s="3">
        <v>2.501554833805545E-2</v>
      </c>
      <c r="F35">
        <f t="shared" si="0"/>
        <v>79</v>
      </c>
      <c r="G35">
        <f t="shared" si="1"/>
        <v>92</v>
      </c>
    </row>
    <row r="36" spans="1:7">
      <c r="A36" s="1">
        <f t="shared" si="2"/>
        <v>39314</v>
      </c>
      <c r="B36" s="2" vm="66">
        <f ca="1"/>
        <v>69.17</v>
      </c>
      <c r="C36" s="2" vm="67">
        <f ca="1"/>
        <v>148.33000000000001</v>
      </c>
      <c r="D36" s="3">
        <v>4.4817117247361897E-3</v>
      </c>
      <c r="E36" s="3">
        <v>-4.9888761545203875E-3</v>
      </c>
      <c r="F36">
        <f t="shared" si="0"/>
        <v>58</v>
      </c>
      <c r="G36">
        <f t="shared" si="1"/>
        <v>45</v>
      </c>
    </row>
    <row r="37" spans="1:7">
      <c r="A37" s="1">
        <f t="shared" si="2"/>
        <v>39321</v>
      </c>
      <c r="B37" s="2" vm="68">
        <f ca="1"/>
        <v>69.48</v>
      </c>
      <c r="C37" s="2" vm="69">
        <f ca="1"/>
        <v>147.59</v>
      </c>
      <c r="D37" s="3">
        <v>-2.6338514680483566E-2</v>
      </c>
      <c r="E37" s="3">
        <v>-1.0298800731756963E-2</v>
      </c>
      <c r="F37">
        <f t="shared" si="0"/>
        <v>30</v>
      </c>
      <c r="G37">
        <f t="shared" si="1"/>
        <v>34</v>
      </c>
    </row>
    <row r="38" spans="1:7">
      <c r="A38" s="1">
        <f t="shared" si="2"/>
        <v>39328</v>
      </c>
      <c r="B38" s="2" vm="70">
        <f ca="1"/>
        <v>67.650000000000006</v>
      </c>
      <c r="C38" s="2" vm="71">
        <f ca="1"/>
        <v>146.07</v>
      </c>
      <c r="D38" s="3">
        <v>3.3555062823355443E-2</v>
      </c>
      <c r="E38" s="3">
        <v>1.9374272609023156E-2</v>
      </c>
      <c r="F38">
        <f t="shared" si="0"/>
        <v>86</v>
      </c>
      <c r="G38">
        <f t="shared" si="1"/>
        <v>87</v>
      </c>
    </row>
    <row r="39" spans="1:7">
      <c r="A39" s="1">
        <f t="shared" si="2"/>
        <v>39335</v>
      </c>
      <c r="B39" s="2" vm="72">
        <f ca="1"/>
        <v>69.92</v>
      </c>
      <c r="C39" s="2" vm="73">
        <f ca="1"/>
        <v>148.9</v>
      </c>
      <c r="D39" s="3">
        <v>2.7459954233409634E-2</v>
      </c>
      <c r="E39" s="3">
        <v>2.0617864338482155E-2</v>
      </c>
      <c r="F39">
        <f t="shared" si="0"/>
        <v>82</v>
      </c>
      <c r="G39">
        <f t="shared" si="1"/>
        <v>89</v>
      </c>
    </row>
    <row r="40" spans="1:7">
      <c r="A40" s="1">
        <f t="shared" si="2"/>
        <v>39342</v>
      </c>
      <c r="B40" s="2" vm="74">
        <f ca="1"/>
        <v>71.84</v>
      </c>
      <c r="C40" s="2" vm="75">
        <f ca="1"/>
        <v>151.97</v>
      </c>
      <c r="D40" s="3">
        <v>-5.2895322939867711E-3</v>
      </c>
      <c r="E40" s="3">
        <v>4.0139501217346428E-3</v>
      </c>
      <c r="F40">
        <f t="shared" si="0"/>
        <v>50</v>
      </c>
      <c r="G40">
        <f t="shared" si="1"/>
        <v>59</v>
      </c>
    </row>
    <row r="41" spans="1:7">
      <c r="A41" s="1">
        <f t="shared" si="2"/>
        <v>39349</v>
      </c>
      <c r="B41" s="2" vm="76">
        <f ca="1"/>
        <v>71.459999999999994</v>
      </c>
      <c r="C41" s="2" vm="77">
        <f ca="1"/>
        <v>152.58000000000001</v>
      </c>
      <c r="D41" s="3">
        <v>7.3187797369157634E-2</v>
      </c>
      <c r="E41" s="3">
        <v>2.1431380259535861E-2</v>
      </c>
      <c r="F41">
        <f t="shared" si="0"/>
        <v>99</v>
      </c>
      <c r="G41">
        <f t="shared" si="1"/>
        <v>90</v>
      </c>
    </row>
    <row r="42" spans="1:7">
      <c r="A42" s="1">
        <f t="shared" si="2"/>
        <v>39356</v>
      </c>
      <c r="B42" s="2" vm="78">
        <f ca="1"/>
        <v>76.69</v>
      </c>
      <c r="C42" s="2" vm="79">
        <f ca="1"/>
        <v>155.85</v>
      </c>
      <c r="D42" s="3">
        <v>-2.8034945886034574E-2</v>
      </c>
      <c r="E42" s="3">
        <v>3.0798845043312046E-3</v>
      </c>
      <c r="F42">
        <f t="shared" si="0"/>
        <v>28</v>
      </c>
      <c r="G42">
        <f t="shared" si="1"/>
        <v>57</v>
      </c>
    </row>
    <row r="43" spans="1:7">
      <c r="A43" s="1">
        <f t="shared" si="2"/>
        <v>39363</v>
      </c>
      <c r="B43" s="2" vm="41">
        <f ca="1"/>
        <v>74.540000000000006</v>
      </c>
      <c r="C43" s="2" vm="80">
        <f ca="1"/>
        <v>156.33000000000001</v>
      </c>
      <c r="D43" s="3">
        <v>-7.3115105983364667E-2</v>
      </c>
      <c r="E43" s="3">
        <v>-4.2602187679908046E-2</v>
      </c>
      <c r="F43">
        <f t="shared" si="0"/>
        <v>8</v>
      </c>
      <c r="G43">
        <f t="shared" si="1"/>
        <v>10</v>
      </c>
    </row>
    <row r="44" spans="1:7">
      <c r="A44" s="1">
        <f t="shared" si="2"/>
        <v>39370</v>
      </c>
      <c r="B44" s="2" vm="81">
        <f ca="1"/>
        <v>69.09</v>
      </c>
      <c r="C44" s="2" vm="82">
        <f ca="1"/>
        <v>149.66999999999999</v>
      </c>
      <c r="D44" s="3">
        <v>3.7342596613113302E-2</v>
      </c>
      <c r="E44" s="3">
        <v>2.6391394401015685E-2</v>
      </c>
      <c r="F44">
        <f t="shared" si="0"/>
        <v>89</v>
      </c>
      <c r="G44">
        <f t="shared" si="1"/>
        <v>94</v>
      </c>
    </row>
    <row r="45" spans="1:7">
      <c r="A45" s="1">
        <f t="shared" si="2"/>
        <v>39377</v>
      </c>
      <c r="B45" s="2" vm="83">
        <f ca="1"/>
        <v>71.67</v>
      </c>
      <c r="C45" s="2" vm="84">
        <f ca="1"/>
        <v>153.62</v>
      </c>
      <c r="D45" s="3">
        <v>-4.3393330542765444E-2</v>
      </c>
      <c r="E45" s="3">
        <v>-1.575315714099737E-2</v>
      </c>
      <c r="F45">
        <f t="shared" si="0"/>
        <v>19</v>
      </c>
      <c r="G45">
        <f t="shared" si="1"/>
        <v>29</v>
      </c>
    </row>
    <row r="46" spans="1:7">
      <c r="A46" s="1">
        <f t="shared" si="2"/>
        <v>39384</v>
      </c>
      <c r="B46" s="2" vm="85">
        <f ca="1"/>
        <v>68.56</v>
      </c>
      <c r="C46" s="2" vm="86">
        <f ca="1"/>
        <v>151.19999999999999</v>
      </c>
      <c r="D46" s="3">
        <v>-3.8068844807467903E-2</v>
      </c>
      <c r="E46" s="3">
        <v>-4.0079365079365097E-2</v>
      </c>
      <c r="F46">
        <f t="shared" si="0"/>
        <v>23</v>
      </c>
      <c r="G46">
        <f t="shared" si="1"/>
        <v>12</v>
      </c>
    </row>
    <row r="47" spans="1:7">
      <c r="A47" s="1">
        <f t="shared" si="2"/>
        <v>39391</v>
      </c>
      <c r="B47" s="2" vm="87">
        <f ca="1"/>
        <v>65.95</v>
      </c>
      <c r="C47" s="2" vm="88">
        <f ca="1"/>
        <v>145.13999999999999</v>
      </c>
      <c r="D47" s="3">
        <v>2.8809704321455304E-3</v>
      </c>
      <c r="E47" s="3">
        <v>4.4784346148546627E-3</v>
      </c>
      <c r="F47">
        <f t="shared" si="0"/>
        <v>56</v>
      </c>
      <c r="G47">
        <f t="shared" si="1"/>
        <v>60</v>
      </c>
    </row>
    <row r="48" spans="1:7">
      <c r="A48" s="1">
        <f t="shared" si="2"/>
        <v>39398</v>
      </c>
      <c r="B48" s="2" vm="89">
        <f ca="1"/>
        <v>66.14</v>
      </c>
      <c r="C48" s="2" vm="90">
        <f ca="1"/>
        <v>145.79</v>
      </c>
      <c r="D48" s="3">
        <v>-2.857574841245843E-2</v>
      </c>
      <c r="E48" s="3">
        <v>-1.138624048288632E-2</v>
      </c>
      <c r="F48">
        <f t="shared" si="0"/>
        <v>27</v>
      </c>
      <c r="G48">
        <f t="shared" si="1"/>
        <v>33</v>
      </c>
    </row>
    <row r="49" spans="1:7">
      <c r="A49" s="1">
        <f t="shared" si="2"/>
        <v>39405</v>
      </c>
      <c r="B49" s="2" vm="91">
        <f ca="1"/>
        <v>64.25</v>
      </c>
      <c r="C49" s="2" vm="92">
        <f ca="1"/>
        <v>144.13</v>
      </c>
      <c r="D49" s="3">
        <v>2.8015564202334586E-2</v>
      </c>
      <c r="E49" s="3">
        <v>3.1429959064733233E-2</v>
      </c>
      <c r="F49">
        <f t="shared" si="0"/>
        <v>84</v>
      </c>
      <c r="G49">
        <f t="shared" si="1"/>
        <v>96</v>
      </c>
    </row>
    <row r="50" spans="1:7">
      <c r="A50" s="1">
        <f t="shared" si="2"/>
        <v>39412</v>
      </c>
      <c r="B50" s="2" vm="93">
        <f ca="1"/>
        <v>66.05</v>
      </c>
      <c r="C50" s="2" vm="94">
        <f ca="1"/>
        <v>148.66</v>
      </c>
      <c r="D50" s="3">
        <v>2.3012869038607057E-2</v>
      </c>
      <c r="E50" s="3">
        <v>1.5135207856854568E-2</v>
      </c>
      <c r="F50">
        <f t="shared" si="0"/>
        <v>78</v>
      </c>
      <c r="G50">
        <f t="shared" si="1"/>
        <v>77</v>
      </c>
    </row>
    <row r="51" spans="1:7">
      <c r="A51" s="1">
        <f t="shared" si="2"/>
        <v>39419</v>
      </c>
      <c r="B51" s="2" vm="95">
        <f ca="1"/>
        <v>67.569999999999993</v>
      </c>
      <c r="C51" s="2" vm="96">
        <f ca="1"/>
        <v>150.91</v>
      </c>
      <c r="D51" s="3">
        <v>-7.0593458635489076E-2</v>
      </c>
      <c r="E51" s="3">
        <v>-2.4782983235040815E-2</v>
      </c>
      <c r="F51">
        <f t="shared" si="0"/>
        <v>9</v>
      </c>
      <c r="G51">
        <f t="shared" si="1"/>
        <v>22</v>
      </c>
    </row>
    <row r="52" spans="1:7">
      <c r="A52" s="1">
        <f t="shared" si="2"/>
        <v>39426</v>
      </c>
      <c r="B52" s="2" vm="97">
        <f ca="1"/>
        <v>62.8</v>
      </c>
      <c r="C52" s="2" vm="98">
        <f ca="1"/>
        <v>147.16999999999999</v>
      </c>
      <c r="D52" s="3">
        <v>-7.0063694267515561E-3</v>
      </c>
      <c r="E52" s="3">
        <v>6.5230685601685668E-3</v>
      </c>
      <c r="F52">
        <f t="shared" si="0"/>
        <v>46</v>
      </c>
      <c r="G52">
        <f t="shared" si="1"/>
        <v>65</v>
      </c>
    </row>
    <row r="53" spans="1:7">
      <c r="A53" s="1">
        <f t="shared" si="2"/>
        <v>39433</v>
      </c>
      <c r="B53" s="2" vm="99">
        <f ca="1"/>
        <v>62.36</v>
      </c>
      <c r="C53" s="2" vm="100">
        <f ca="1"/>
        <v>148.13</v>
      </c>
      <c r="D53" s="3">
        <v>-2.2450288646568291E-2</v>
      </c>
      <c r="E53" s="3">
        <v>-5.6031863903327084E-3</v>
      </c>
      <c r="F53">
        <f t="shared" si="0"/>
        <v>34</v>
      </c>
      <c r="G53">
        <f t="shared" si="1"/>
        <v>44</v>
      </c>
    </row>
    <row r="54" spans="1:7">
      <c r="A54" s="1">
        <f t="shared" si="2"/>
        <v>39440</v>
      </c>
      <c r="B54" s="2" vm="101">
        <f ca="1"/>
        <v>60.96</v>
      </c>
      <c r="C54" s="2" vm="102">
        <f ca="1"/>
        <v>147.30000000000001</v>
      </c>
      <c r="D54" s="3">
        <v>-6.5780839895013085E-2</v>
      </c>
      <c r="E54" s="3">
        <v>-4.066530889341486E-2</v>
      </c>
      <c r="F54">
        <f t="shared" si="0"/>
        <v>12</v>
      </c>
      <c r="G54">
        <f t="shared" si="1"/>
        <v>11</v>
      </c>
    </row>
    <row r="55" spans="1:7">
      <c r="A55" s="1">
        <f t="shared" si="2"/>
        <v>39447</v>
      </c>
      <c r="B55" s="2" vm="103">
        <f ca="1"/>
        <v>56.95</v>
      </c>
      <c r="C55" s="2" vm="104">
        <f ca="1"/>
        <v>141.31</v>
      </c>
      <c r="D55" s="3">
        <v>7.0237050043897905E-3</v>
      </c>
      <c r="E55" s="3">
        <v>-8.2089024131342201E-3</v>
      </c>
      <c r="F55">
        <f t="shared" si="0"/>
        <v>62</v>
      </c>
      <c r="G55">
        <f t="shared" si="1"/>
        <v>40</v>
      </c>
    </row>
    <row r="56" spans="1:7">
      <c r="A56" s="1">
        <f t="shared" si="2"/>
        <v>39454</v>
      </c>
      <c r="B56" s="2" vm="105">
        <f ca="1"/>
        <v>57.35</v>
      </c>
      <c r="C56" s="2" vm="106">
        <f ca="1"/>
        <v>140.15</v>
      </c>
      <c r="D56" s="3">
        <v>-3.9581517000871896E-2</v>
      </c>
      <c r="E56" s="3">
        <v>-5.7723867285051751E-2</v>
      </c>
      <c r="F56">
        <f t="shared" si="0"/>
        <v>21</v>
      </c>
      <c r="G56">
        <f t="shared" si="1"/>
        <v>6</v>
      </c>
    </row>
    <row r="57" spans="1:7">
      <c r="A57" s="1">
        <f t="shared" si="2"/>
        <v>39461</v>
      </c>
      <c r="B57" s="2" vm="107">
        <f ca="1"/>
        <v>55.08</v>
      </c>
      <c r="C57" s="2" vm="108">
        <f ca="1"/>
        <v>132.06</v>
      </c>
      <c r="D57" s="3">
        <v>8.8415032679738589E-2</v>
      </c>
      <c r="E57" s="3">
        <v>7.4208693018324228E-3</v>
      </c>
      <c r="F57">
        <f t="shared" si="0"/>
        <v>102</v>
      </c>
      <c r="G57">
        <f t="shared" si="1"/>
        <v>66</v>
      </c>
    </row>
    <row r="58" spans="1:7">
      <c r="A58" s="1">
        <f t="shared" si="2"/>
        <v>39468</v>
      </c>
      <c r="B58" s="2" vm="109">
        <f ca="1"/>
        <v>59.9499</v>
      </c>
      <c r="C58" s="2" vm="110">
        <f ca="1"/>
        <v>133.04</v>
      </c>
      <c r="D58" s="3">
        <v>5.9718198028687317E-2</v>
      </c>
      <c r="E58" s="3">
        <v>4.9158147925436116E-2</v>
      </c>
      <c r="F58">
        <f t="shared" si="0"/>
        <v>96</v>
      </c>
      <c r="G58">
        <f t="shared" si="1"/>
        <v>100</v>
      </c>
    </row>
    <row r="59" spans="1:7">
      <c r="A59" s="1">
        <f t="shared" si="2"/>
        <v>39475</v>
      </c>
      <c r="B59" s="2" vm="111">
        <f ca="1"/>
        <v>63.53</v>
      </c>
      <c r="C59" s="2" vm="112">
        <f ca="1"/>
        <v>139.58000000000001</v>
      </c>
      <c r="D59" s="3">
        <v>-6.9417597985203833E-2</v>
      </c>
      <c r="E59" s="3">
        <v>-4.6639919759277969E-2</v>
      </c>
      <c r="F59">
        <f t="shared" si="0"/>
        <v>10</v>
      </c>
      <c r="G59">
        <f t="shared" si="1"/>
        <v>8</v>
      </c>
    </row>
    <row r="60" spans="1:7">
      <c r="A60" s="1">
        <f t="shared" si="2"/>
        <v>39482</v>
      </c>
      <c r="B60" s="2" vm="113">
        <f ca="1"/>
        <v>59.119900000000001</v>
      </c>
      <c r="C60" s="2" vm="114">
        <f ca="1"/>
        <v>133.07</v>
      </c>
      <c r="D60" s="3">
        <v>4.7378293941633415E-3</v>
      </c>
      <c r="E60" s="3">
        <v>1.5555722552040229E-2</v>
      </c>
      <c r="F60">
        <f t="shared" si="0"/>
        <v>59</v>
      </c>
      <c r="G60">
        <f t="shared" si="1"/>
        <v>79</v>
      </c>
    </row>
    <row r="61" spans="1:7">
      <c r="A61" s="1">
        <f t="shared" si="2"/>
        <v>39489</v>
      </c>
      <c r="B61" s="2" vm="115">
        <f ca="1"/>
        <v>59.4</v>
      </c>
      <c r="C61" s="2" vm="116">
        <f ca="1"/>
        <v>135.13999999999999</v>
      </c>
      <c r="D61" s="3">
        <v>4.0404040404040742E-3</v>
      </c>
      <c r="E61" s="3">
        <v>3.5518721326033612E-3</v>
      </c>
      <c r="F61">
        <f t="shared" si="0"/>
        <v>57</v>
      </c>
      <c r="G61">
        <f t="shared" si="1"/>
        <v>58</v>
      </c>
    </row>
    <row r="62" spans="1:7">
      <c r="A62" s="1">
        <f t="shared" si="2"/>
        <v>39496</v>
      </c>
      <c r="B62" s="2" vm="117">
        <f ca="1"/>
        <v>59.64</v>
      </c>
      <c r="C62" s="2" vm="118">
        <f ca="1"/>
        <v>135.62</v>
      </c>
      <c r="D62" s="3">
        <v>-1.001006036217306E-2</v>
      </c>
      <c r="E62" s="3">
        <v>-1.3272378705205805E-2</v>
      </c>
      <c r="F62">
        <f t="shared" si="0"/>
        <v>43</v>
      </c>
      <c r="G62">
        <f t="shared" si="1"/>
        <v>31</v>
      </c>
    </row>
    <row r="63" spans="1:7">
      <c r="A63" s="1">
        <f t="shared" si="2"/>
        <v>39503</v>
      </c>
      <c r="B63" s="2" vm="119">
        <f ca="1"/>
        <v>59.042999999999999</v>
      </c>
      <c r="C63" s="2" vm="120">
        <f ca="1"/>
        <v>133.82</v>
      </c>
      <c r="D63" s="3">
        <v>-1.9189404332435728E-2</v>
      </c>
      <c r="E63" s="3">
        <v>-3.0712897922582465E-2</v>
      </c>
      <c r="F63">
        <f t="shared" si="0"/>
        <v>38</v>
      </c>
      <c r="G63">
        <f t="shared" si="1"/>
        <v>17</v>
      </c>
    </row>
    <row r="64" spans="1:7">
      <c r="A64" s="1">
        <f t="shared" si="2"/>
        <v>39510</v>
      </c>
      <c r="B64" s="2" vm="121">
        <f ca="1"/>
        <v>57.91</v>
      </c>
      <c r="C64" s="2" vm="122">
        <f ca="1"/>
        <v>129.71</v>
      </c>
      <c r="D64" s="3">
        <v>1.8822310481782137E-2</v>
      </c>
      <c r="E64" s="3">
        <v>-7.7095058206764556E-4</v>
      </c>
      <c r="F64">
        <f t="shared" si="0"/>
        <v>74</v>
      </c>
      <c r="G64">
        <f t="shared" si="1"/>
        <v>54</v>
      </c>
    </row>
    <row r="65" spans="1:7">
      <c r="A65" s="1">
        <f t="shared" si="2"/>
        <v>39517</v>
      </c>
      <c r="B65" s="2" vm="123">
        <f ca="1"/>
        <v>59</v>
      </c>
      <c r="C65" s="2" vm="124">
        <f ca="1"/>
        <v>129.61000000000001</v>
      </c>
      <c r="D65" s="3">
        <v>7.711864406779656E-2</v>
      </c>
      <c r="E65" s="3">
        <v>1.9057171514543621E-2</v>
      </c>
      <c r="F65">
        <f t="shared" si="0"/>
        <v>100</v>
      </c>
      <c r="G65">
        <f t="shared" si="1"/>
        <v>85</v>
      </c>
    </row>
    <row r="66" spans="1:7">
      <c r="A66" s="1">
        <f t="shared" si="2"/>
        <v>39524</v>
      </c>
      <c r="B66" s="2" vm="125">
        <f ca="1"/>
        <v>63.55</v>
      </c>
      <c r="C66" s="2" vm="126">
        <f ca="1"/>
        <v>132.08000000000001</v>
      </c>
      <c r="D66" s="3">
        <v>-2.2029897718332001E-2</v>
      </c>
      <c r="E66" s="3">
        <v>-4.3155663234405025E-3</v>
      </c>
      <c r="F66">
        <f t="shared" si="0"/>
        <v>35</v>
      </c>
      <c r="G66">
        <f t="shared" si="1"/>
        <v>47</v>
      </c>
    </row>
    <row r="67" spans="1:7">
      <c r="A67" s="1">
        <f t="shared" si="2"/>
        <v>39531</v>
      </c>
      <c r="B67" s="2" vm="127">
        <f ca="1"/>
        <v>62.15</v>
      </c>
      <c r="C67" s="2" vm="128">
        <f ca="1"/>
        <v>131.51</v>
      </c>
      <c r="D67" s="3">
        <v>6.2912308930008112E-2</v>
      </c>
      <c r="E67" s="3">
        <v>4.090943654474942E-2</v>
      </c>
      <c r="F67">
        <f t="shared" si="0"/>
        <v>98</v>
      </c>
      <c r="G67">
        <f t="shared" si="1"/>
        <v>99</v>
      </c>
    </row>
    <row r="68" spans="1:7">
      <c r="A68" s="1">
        <f t="shared" si="2"/>
        <v>39538</v>
      </c>
      <c r="B68" s="2" vm="129">
        <f ca="1"/>
        <v>66.06</v>
      </c>
      <c r="C68" s="2" vm="130">
        <f ca="1"/>
        <v>136.88999999999999</v>
      </c>
      <c r="D68" s="3">
        <v>-3.7995761429004009E-2</v>
      </c>
      <c r="E68" s="3">
        <v>-2.5641025641025578E-2</v>
      </c>
      <c r="F68">
        <f t="shared" ref="F68:F106" si="3">RANK(D68, $D$3:$D$106, 1)</f>
        <v>24</v>
      </c>
      <c r="G68">
        <f t="shared" ref="G68:G106" si="4">RANK(E68, $E$3:$E$106, 1)</f>
        <v>21</v>
      </c>
    </row>
    <row r="69" spans="1:7">
      <c r="A69" s="1">
        <f t="shared" ref="A69:A107" si="5">A68+7</f>
        <v>39545</v>
      </c>
      <c r="B69" s="2" vm="125">
        <f ca="1"/>
        <v>63.55</v>
      </c>
      <c r="C69" s="2" vm="131">
        <f ca="1"/>
        <v>133.38</v>
      </c>
      <c r="D69" s="3">
        <v>4.2800944138473629E-2</v>
      </c>
      <c r="E69" s="3">
        <v>3.8236617183985563E-2</v>
      </c>
      <c r="F69">
        <f t="shared" si="3"/>
        <v>94</v>
      </c>
      <c r="G69">
        <f t="shared" si="4"/>
        <v>98</v>
      </c>
    </row>
    <row r="70" spans="1:7">
      <c r="A70" s="1">
        <f t="shared" si="5"/>
        <v>39552</v>
      </c>
      <c r="B70" s="2" vm="132">
        <f ca="1"/>
        <v>66.27</v>
      </c>
      <c r="C70" s="2" vm="133">
        <f ca="1"/>
        <v>138.47999999999999</v>
      </c>
      <c r="D70" s="3">
        <v>2.8217896484080348E-2</v>
      </c>
      <c r="E70" s="3">
        <v>8.0878105141537013E-3</v>
      </c>
      <c r="F70">
        <f t="shared" si="3"/>
        <v>85</v>
      </c>
      <c r="G70">
        <f t="shared" si="4"/>
        <v>68</v>
      </c>
    </row>
    <row r="71" spans="1:7">
      <c r="A71" s="1">
        <f t="shared" si="5"/>
        <v>39559</v>
      </c>
      <c r="B71" s="2" vm="134">
        <f ca="1"/>
        <v>68.14</v>
      </c>
      <c r="C71" s="2" vm="135">
        <f ca="1"/>
        <v>139.6</v>
      </c>
      <c r="D71" s="3">
        <v>-5.8702670971530037E-3</v>
      </c>
      <c r="E71" s="3">
        <v>1.3681948424068745E-2</v>
      </c>
      <c r="F71">
        <f t="shared" si="3"/>
        <v>49</v>
      </c>
      <c r="G71">
        <f t="shared" si="4"/>
        <v>76</v>
      </c>
    </row>
    <row r="72" spans="1:7">
      <c r="A72" s="1">
        <f t="shared" si="5"/>
        <v>39566</v>
      </c>
      <c r="B72" s="2" vm="136">
        <f ca="1"/>
        <v>67.739999999999995</v>
      </c>
      <c r="C72" s="2" vm="137">
        <f ca="1"/>
        <v>141.51</v>
      </c>
      <c r="D72" s="3">
        <v>-3.4396220844405058E-2</v>
      </c>
      <c r="E72" s="3">
        <v>-1.8443926224294999E-2</v>
      </c>
      <c r="F72">
        <f t="shared" si="3"/>
        <v>25</v>
      </c>
      <c r="G72">
        <f t="shared" si="4"/>
        <v>26</v>
      </c>
    </row>
    <row r="73" spans="1:7">
      <c r="A73" s="1">
        <f t="shared" si="5"/>
        <v>39573</v>
      </c>
      <c r="B73" s="2" vm="138">
        <f ca="1"/>
        <v>65.41</v>
      </c>
      <c r="C73" s="2" vm="139">
        <f ca="1"/>
        <v>138.9</v>
      </c>
      <c r="D73" s="3">
        <v>4.1583855679559682E-2</v>
      </c>
      <c r="E73" s="3">
        <v>2.7069834413246875E-2</v>
      </c>
      <c r="F73">
        <f t="shared" si="3"/>
        <v>93</v>
      </c>
      <c r="G73">
        <f t="shared" si="4"/>
        <v>95</v>
      </c>
    </row>
    <row r="74" spans="1:7">
      <c r="A74" s="1">
        <f t="shared" si="5"/>
        <v>39580</v>
      </c>
      <c r="B74" s="2" vm="140">
        <f ca="1"/>
        <v>68.13</v>
      </c>
      <c r="C74" s="2" vm="141">
        <f ca="1"/>
        <v>142.66</v>
      </c>
      <c r="D74" s="3">
        <v>-4.8436811977102562E-2</v>
      </c>
      <c r="E74" s="3">
        <v>-3.518856021309414E-2</v>
      </c>
      <c r="F74">
        <f t="shared" si="3"/>
        <v>17</v>
      </c>
      <c r="G74">
        <f t="shared" si="4"/>
        <v>13</v>
      </c>
    </row>
    <row r="75" spans="1:7">
      <c r="A75" s="1">
        <f t="shared" si="5"/>
        <v>39587</v>
      </c>
      <c r="B75" s="2" vm="142">
        <f ca="1"/>
        <v>64.83</v>
      </c>
      <c r="C75" s="2" vm="143">
        <f ca="1"/>
        <v>137.63999999999999</v>
      </c>
      <c r="D75" s="3">
        <v>2.1594940613913399E-2</v>
      </c>
      <c r="E75" s="3">
        <v>1.9689043882592329E-2</v>
      </c>
      <c r="F75">
        <f t="shared" si="3"/>
        <v>75</v>
      </c>
      <c r="G75">
        <f t="shared" si="4"/>
        <v>88</v>
      </c>
    </row>
    <row r="76" spans="1:7">
      <c r="A76" s="1">
        <f t="shared" si="5"/>
        <v>39594</v>
      </c>
      <c r="B76" s="2" vm="144">
        <f ca="1"/>
        <v>66.23</v>
      </c>
      <c r="C76" s="2" vm="145">
        <f ca="1"/>
        <v>140.35</v>
      </c>
      <c r="D76" s="3">
        <v>-2.4913181337762429E-2</v>
      </c>
      <c r="E76" s="3">
        <v>-2.8927680798005007E-2</v>
      </c>
      <c r="F76">
        <f t="shared" si="3"/>
        <v>31</v>
      </c>
      <c r="G76">
        <f t="shared" si="4"/>
        <v>19</v>
      </c>
    </row>
    <row r="77" spans="1:7">
      <c r="A77" s="1">
        <f t="shared" si="5"/>
        <v>39601</v>
      </c>
      <c r="B77" s="2" vm="146">
        <f ca="1"/>
        <v>64.58</v>
      </c>
      <c r="C77" s="2" vm="147">
        <f ca="1"/>
        <v>136.29</v>
      </c>
      <c r="D77" s="3">
        <v>-8.0520284917930639E-3</v>
      </c>
      <c r="E77" s="3">
        <v>-1.0272213662043169E-3</v>
      </c>
      <c r="F77">
        <f t="shared" si="3"/>
        <v>44</v>
      </c>
      <c r="G77">
        <f t="shared" si="4"/>
        <v>52</v>
      </c>
    </row>
    <row r="78" spans="1:7">
      <c r="A78" s="1">
        <f t="shared" si="5"/>
        <v>39608</v>
      </c>
      <c r="B78" s="2" vm="148">
        <f ca="1"/>
        <v>64.06</v>
      </c>
      <c r="C78" s="2" vm="149">
        <f ca="1"/>
        <v>136.15</v>
      </c>
      <c r="D78" s="3">
        <v>-2.9815797689665996E-2</v>
      </c>
      <c r="E78" s="3">
        <v>-3.3565919941241223E-2</v>
      </c>
      <c r="F78">
        <f t="shared" si="3"/>
        <v>26</v>
      </c>
      <c r="G78">
        <f t="shared" si="4"/>
        <v>15</v>
      </c>
    </row>
    <row r="79" spans="1:7">
      <c r="A79" s="1">
        <f t="shared" si="5"/>
        <v>39615</v>
      </c>
      <c r="B79" s="2" vm="127">
        <f ca="1"/>
        <v>62.15</v>
      </c>
      <c r="C79" s="2" vm="150">
        <f ca="1"/>
        <v>131.58000000000001</v>
      </c>
      <c r="D79" s="3">
        <v>-6.130329847143999E-2</v>
      </c>
      <c r="E79" s="3">
        <v>-3.0779753761969987E-2</v>
      </c>
      <c r="F79">
        <f t="shared" si="3"/>
        <v>13</v>
      </c>
      <c r="G79">
        <f t="shared" si="4"/>
        <v>16</v>
      </c>
    </row>
    <row r="80" spans="1:7">
      <c r="A80" s="1">
        <f t="shared" si="5"/>
        <v>39622</v>
      </c>
      <c r="B80" s="2" vm="151">
        <f ca="1"/>
        <v>58.34</v>
      </c>
      <c r="C80" s="2" vm="152">
        <f ca="1"/>
        <v>127.53</v>
      </c>
      <c r="D80" s="3">
        <v>-2.1940349674322953E-2</v>
      </c>
      <c r="E80" s="3">
        <v>-9.5663765388535934E-3</v>
      </c>
      <c r="F80">
        <f t="shared" si="3"/>
        <v>36</v>
      </c>
      <c r="G80">
        <f t="shared" si="4"/>
        <v>36</v>
      </c>
    </row>
    <row r="81" spans="1:7">
      <c r="A81" s="1">
        <f t="shared" si="5"/>
        <v>39629</v>
      </c>
      <c r="B81" s="2" vm="153">
        <f ca="1"/>
        <v>57.06</v>
      </c>
      <c r="C81" s="2" vm="154">
        <f ca="1"/>
        <v>126.31</v>
      </c>
      <c r="D81" s="3">
        <v>-7.1854188573432119E-3</v>
      </c>
      <c r="E81" s="3">
        <v>-1.9555062940384758E-2</v>
      </c>
      <c r="F81">
        <f t="shared" si="3"/>
        <v>45</v>
      </c>
      <c r="G81">
        <f t="shared" si="4"/>
        <v>25</v>
      </c>
    </row>
    <row r="82" spans="1:7">
      <c r="A82" s="1">
        <f t="shared" si="5"/>
        <v>39636</v>
      </c>
      <c r="B82" s="2" vm="155">
        <f ca="1"/>
        <v>56.65</v>
      </c>
      <c r="C82" s="2" vm="156">
        <f ca="1"/>
        <v>123.84</v>
      </c>
      <c r="D82" s="3">
        <v>3.971756398940865E-2</v>
      </c>
      <c r="E82" s="3">
        <v>1.7280361757105948E-2</v>
      </c>
      <c r="F82">
        <f t="shared" si="3"/>
        <v>91</v>
      </c>
      <c r="G82">
        <f t="shared" si="4"/>
        <v>83</v>
      </c>
    </row>
    <row r="83" spans="1:7">
      <c r="A83" s="1">
        <f t="shared" si="5"/>
        <v>39643</v>
      </c>
      <c r="B83" s="2" vm="157">
        <f ca="1"/>
        <v>58.9</v>
      </c>
      <c r="C83" s="2" vm="158">
        <f ca="1"/>
        <v>125.98</v>
      </c>
      <c r="D83" s="3">
        <v>9.5076400679117538E-3</v>
      </c>
      <c r="E83" s="3">
        <v>-3.9688839498333069E-3</v>
      </c>
      <c r="F83">
        <f t="shared" si="3"/>
        <v>67</v>
      </c>
      <c r="G83">
        <f t="shared" si="4"/>
        <v>49</v>
      </c>
    </row>
    <row r="84" spans="1:7">
      <c r="A84" s="1">
        <f t="shared" si="5"/>
        <v>39650</v>
      </c>
      <c r="B84" s="2" vm="159">
        <f ca="1"/>
        <v>59.46</v>
      </c>
      <c r="C84" s="2" vm="160">
        <f ca="1"/>
        <v>125.48</v>
      </c>
      <c r="D84" s="3">
        <v>1.3958964009418068E-2</v>
      </c>
      <c r="E84" s="3">
        <v>5.4191903092125644E-3</v>
      </c>
      <c r="F84">
        <f t="shared" si="3"/>
        <v>70</v>
      </c>
      <c r="G84">
        <f t="shared" si="4"/>
        <v>61</v>
      </c>
    </row>
    <row r="85" spans="1:7">
      <c r="A85" s="1">
        <f t="shared" si="5"/>
        <v>39657</v>
      </c>
      <c r="B85" s="2" vm="161">
        <f ca="1"/>
        <v>60.29</v>
      </c>
      <c r="C85" s="2" vm="162">
        <f ca="1"/>
        <v>126.16</v>
      </c>
      <c r="D85" s="3">
        <v>2.6704262730137658E-2</v>
      </c>
      <c r="E85" s="3">
        <v>2.544388078630317E-2</v>
      </c>
      <c r="F85">
        <f t="shared" si="3"/>
        <v>80</v>
      </c>
      <c r="G85">
        <f t="shared" si="4"/>
        <v>93</v>
      </c>
    </row>
    <row r="86" spans="1:7">
      <c r="A86" s="1">
        <f t="shared" si="5"/>
        <v>39664</v>
      </c>
      <c r="B86" s="2" vm="163">
        <f ca="1"/>
        <v>61.9</v>
      </c>
      <c r="C86" s="2" vm="164">
        <f ca="1"/>
        <v>129.37</v>
      </c>
      <c r="D86" s="3">
        <v>9.0468497576737042E-3</v>
      </c>
      <c r="E86" s="3">
        <v>6.183813867202465E-3</v>
      </c>
      <c r="F86">
        <f t="shared" si="3"/>
        <v>64</v>
      </c>
      <c r="G86">
        <f t="shared" si="4"/>
        <v>63</v>
      </c>
    </row>
    <row r="87" spans="1:7">
      <c r="A87" s="1">
        <f t="shared" si="5"/>
        <v>39671</v>
      </c>
      <c r="B87" s="2" vm="165">
        <f ca="1"/>
        <v>62.46</v>
      </c>
      <c r="C87" s="2" vm="166">
        <f ca="1"/>
        <v>130.16999999999999</v>
      </c>
      <c r="D87" s="3">
        <v>-2.1613832853025958E-2</v>
      </c>
      <c r="E87" s="3">
        <v>-3.9947760620725348E-3</v>
      </c>
      <c r="F87">
        <f t="shared" si="3"/>
        <v>37</v>
      </c>
      <c r="G87">
        <f t="shared" si="4"/>
        <v>48</v>
      </c>
    </row>
    <row r="88" spans="1:7">
      <c r="A88" s="1">
        <f t="shared" si="5"/>
        <v>39678</v>
      </c>
      <c r="B88" s="2" vm="167">
        <f ca="1"/>
        <v>61.11</v>
      </c>
      <c r="C88" s="2" vm="168">
        <f ca="1"/>
        <v>129.65</v>
      </c>
      <c r="D88" s="3">
        <v>9.1638029782360048E-3</v>
      </c>
      <c r="E88" s="3">
        <v>-6.6332433474740734E-3</v>
      </c>
      <c r="F88">
        <f t="shared" si="3"/>
        <v>66</v>
      </c>
      <c r="G88">
        <f t="shared" si="4"/>
        <v>41</v>
      </c>
    </row>
    <row r="89" spans="1:7">
      <c r="A89" s="1">
        <f t="shared" si="5"/>
        <v>39685</v>
      </c>
      <c r="B89" s="2" vm="169">
        <f ca="1"/>
        <v>61.67</v>
      </c>
      <c r="C89" s="2" vm="170">
        <f ca="1"/>
        <v>128.79</v>
      </c>
      <c r="D89" s="3">
        <v>-6.1618290903194834E-3</v>
      </c>
      <c r="E89" s="3">
        <v>-3.3931205838962579E-2</v>
      </c>
      <c r="F89">
        <f t="shared" si="3"/>
        <v>47</v>
      </c>
      <c r="G89">
        <f t="shared" si="4"/>
        <v>14</v>
      </c>
    </row>
    <row r="90" spans="1:7">
      <c r="A90" s="1">
        <f t="shared" si="5"/>
        <v>39692</v>
      </c>
      <c r="B90" s="2" vm="171">
        <f ca="1"/>
        <v>61.29</v>
      </c>
      <c r="C90" s="2" vm="172">
        <f ca="1"/>
        <v>124.42</v>
      </c>
      <c r="D90" s="3">
        <v>1.81106216348507E-2</v>
      </c>
      <c r="E90" s="3">
        <v>1.3422279376306074E-2</v>
      </c>
      <c r="F90">
        <f t="shared" si="3"/>
        <v>72</v>
      </c>
      <c r="G90">
        <f t="shared" si="4"/>
        <v>74</v>
      </c>
    </row>
    <row r="91" spans="1:7">
      <c r="A91" s="1">
        <f t="shared" si="5"/>
        <v>39699</v>
      </c>
      <c r="B91" s="2" vm="173">
        <f ca="1"/>
        <v>62.4</v>
      </c>
      <c r="C91" s="2" vm="174">
        <f ca="1"/>
        <v>126.09</v>
      </c>
      <c r="D91" s="3">
        <v>4.1185897435897442E-2</v>
      </c>
      <c r="E91" s="3">
        <v>-1.5623760805773644E-2</v>
      </c>
      <c r="F91">
        <f t="shared" si="3"/>
        <v>92</v>
      </c>
      <c r="G91">
        <f t="shared" si="4"/>
        <v>30</v>
      </c>
    </row>
    <row r="92" spans="1:7">
      <c r="A92" s="1">
        <f t="shared" si="5"/>
        <v>39706</v>
      </c>
      <c r="B92" s="2" vm="175">
        <f ca="1"/>
        <v>64.97</v>
      </c>
      <c r="C92" s="2" vm="176">
        <f ca="1"/>
        <v>124.12</v>
      </c>
      <c r="D92" s="3">
        <v>-5.6487609665999722E-2</v>
      </c>
      <c r="E92" s="3">
        <v>-2.6345472123751289E-2</v>
      </c>
      <c r="F92">
        <f t="shared" si="3"/>
        <v>15</v>
      </c>
      <c r="G92">
        <f t="shared" si="4"/>
        <v>20</v>
      </c>
    </row>
    <row r="93" spans="1:7">
      <c r="A93" s="1">
        <f t="shared" si="5"/>
        <v>39713</v>
      </c>
      <c r="B93" s="2" vm="177">
        <f ca="1"/>
        <v>61.3</v>
      </c>
      <c r="C93" s="2" vm="178">
        <f ca="1"/>
        <v>120.85</v>
      </c>
      <c r="D93" s="3">
        <v>-0.13376835236541593</v>
      </c>
      <c r="E93" s="3">
        <v>-8.6967314853123631E-2</v>
      </c>
      <c r="F93">
        <f t="shared" si="3"/>
        <v>4</v>
      </c>
      <c r="G93">
        <f t="shared" si="4"/>
        <v>2</v>
      </c>
    </row>
    <row r="94" spans="1:7">
      <c r="A94" s="1">
        <f t="shared" si="5"/>
        <v>39720</v>
      </c>
      <c r="B94" s="2" vm="179">
        <f ca="1"/>
        <v>53.1</v>
      </c>
      <c r="C94" s="2" vm="180">
        <f ca="1"/>
        <v>110.34</v>
      </c>
      <c r="D94" s="3">
        <v>-0.11770244821092278</v>
      </c>
      <c r="E94" s="3">
        <v>-0.19793365959760742</v>
      </c>
      <c r="F94">
        <f t="shared" si="3"/>
        <v>5</v>
      </c>
      <c r="G94">
        <f t="shared" si="4"/>
        <v>1</v>
      </c>
    </row>
    <row r="95" spans="1:7">
      <c r="A95" s="1">
        <f t="shared" si="5"/>
        <v>39727</v>
      </c>
      <c r="B95" s="2" vm="181">
        <f ca="1"/>
        <v>46.85</v>
      </c>
      <c r="C95" s="2" vm="182">
        <f ca="1"/>
        <v>88.5</v>
      </c>
      <c r="D95" s="3">
        <v>-9.5581643543223085E-2</v>
      </c>
      <c r="E95" s="3">
        <v>5.3220338983050779E-2</v>
      </c>
      <c r="F95">
        <f t="shared" si="3"/>
        <v>7</v>
      </c>
      <c r="G95">
        <f t="shared" si="4"/>
        <v>101</v>
      </c>
    </row>
    <row r="96" spans="1:7">
      <c r="A96" s="1">
        <f t="shared" si="5"/>
        <v>39734</v>
      </c>
      <c r="B96" s="2" vm="183">
        <f ca="1"/>
        <v>42.372</v>
      </c>
      <c r="C96" s="2" vm="184">
        <f ca="1"/>
        <v>93.21</v>
      </c>
      <c r="D96" s="3">
        <v>-0.16949872557349199</v>
      </c>
      <c r="E96" s="3">
        <v>-6.6194614311768998E-2</v>
      </c>
      <c r="F96">
        <f t="shared" si="3"/>
        <v>3</v>
      </c>
      <c r="G96">
        <f t="shared" si="4"/>
        <v>5</v>
      </c>
    </row>
    <row r="97" spans="1:7">
      <c r="A97" s="1">
        <f t="shared" si="5"/>
        <v>39741</v>
      </c>
      <c r="B97" s="2" vm="185">
        <f ca="1"/>
        <v>35.19</v>
      </c>
      <c r="C97" s="2" vm="186">
        <f ca="1"/>
        <v>87.04</v>
      </c>
      <c r="D97" s="3">
        <v>0.17959647627166811</v>
      </c>
      <c r="E97" s="3">
        <v>0.11247702205882343</v>
      </c>
      <c r="F97">
        <f t="shared" si="3"/>
        <v>103</v>
      </c>
      <c r="G97">
        <f t="shared" si="4"/>
        <v>103</v>
      </c>
    </row>
    <row r="98" spans="1:7">
      <c r="A98" s="1">
        <f t="shared" si="5"/>
        <v>39748</v>
      </c>
      <c r="B98" s="2" vm="187">
        <f ca="1"/>
        <v>41.51</v>
      </c>
      <c r="C98" s="2" vm="188">
        <f ca="1"/>
        <v>96.83</v>
      </c>
      <c r="D98" s="3">
        <v>-6.6490002409058016E-2</v>
      </c>
      <c r="E98" s="3">
        <v>-3.0672312299907044E-2</v>
      </c>
      <c r="F98">
        <f t="shared" si="3"/>
        <v>11</v>
      </c>
      <c r="G98">
        <f t="shared" si="4"/>
        <v>18</v>
      </c>
    </row>
    <row r="99" spans="1:7">
      <c r="A99" s="1">
        <f t="shared" si="5"/>
        <v>39755</v>
      </c>
      <c r="B99" s="2" vm="189">
        <f ca="1"/>
        <v>38.75</v>
      </c>
      <c r="C99" s="2" vm="190">
        <f ca="1"/>
        <v>93.86</v>
      </c>
      <c r="D99" s="3">
        <v>-0.17909677419354841</v>
      </c>
      <c r="E99" s="3">
        <v>-7.7136160238653259E-2</v>
      </c>
      <c r="F99">
        <f t="shared" si="3"/>
        <v>2</v>
      </c>
      <c r="G99">
        <f t="shared" si="4"/>
        <v>4</v>
      </c>
    </row>
    <row r="100" spans="1:7">
      <c r="A100" s="1">
        <f t="shared" si="5"/>
        <v>39762</v>
      </c>
      <c r="B100" s="2" vm="191">
        <f ca="1"/>
        <v>31.81</v>
      </c>
      <c r="C100" s="2" vm="192">
        <f ca="1"/>
        <v>86.62</v>
      </c>
      <c r="D100" s="3">
        <v>-0.18296133291417796</v>
      </c>
      <c r="E100" s="3">
        <v>-8.1967213114754189E-2</v>
      </c>
      <c r="F100">
        <f t="shared" si="3"/>
        <v>1</v>
      </c>
      <c r="G100">
        <f t="shared" si="4"/>
        <v>3</v>
      </c>
    </row>
    <row r="101" spans="1:7">
      <c r="A101" s="1">
        <f t="shared" si="5"/>
        <v>39769</v>
      </c>
      <c r="B101" s="2" vm="193">
        <f ca="1"/>
        <v>25.99</v>
      </c>
      <c r="C101" s="2" vm="194">
        <f ca="1"/>
        <v>79.52</v>
      </c>
      <c r="D101" s="3">
        <v>0.23432089265101963</v>
      </c>
      <c r="E101" s="3">
        <v>0.13292253521126771</v>
      </c>
      <c r="F101">
        <f t="shared" si="3"/>
        <v>104</v>
      </c>
      <c r="G101">
        <f t="shared" si="4"/>
        <v>104</v>
      </c>
    </row>
    <row r="102" spans="1:7">
      <c r="A102" s="1">
        <f t="shared" si="5"/>
        <v>39776</v>
      </c>
      <c r="B102" s="2" vm="195">
        <f ca="1"/>
        <v>32.08</v>
      </c>
      <c r="C102" s="2" vm="196">
        <f ca="1"/>
        <v>90.09</v>
      </c>
      <c r="D102" s="3">
        <v>3.5536159600997527E-2</v>
      </c>
      <c r="E102" s="3">
        <v>-2.3976023976023938E-2</v>
      </c>
      <c r="F102">
        <f t="shared" si="3"/>
        <v>88</v>
      </c>
      <c r="G102">
        <f t="shared" si="4"/>
        <v>23</v>
      </c>
    </row>
    <row r="103" spans="1:7">
      <c r="A103" s="1">
        <f t="shared" si="5"/>
        <v>39783</v>
      </c>
      <c r="B103" s="2" vm="197">
        <f ca="1"/>
        <v>33.22</v>
      </c>
      <c r="C103" s="2" vm="198">
        <f ca="1"/>
        <v>87.93</v>
      </c>
      <c r="D103" s="3">
        <v>2.6791089704997009E-2</v>
      </c>
      <c r="E103" s="3">
        <v>1.2055043784828705E-2</v>
      </c>
      <c r="F103">
        <f t="shared" si="3"/>
        <v>81</v>
      </c>
      <c r="G103">
        <f t="shared" si="4"/>
        <v>71</v>
      </c>
    </row>
    <row r="104" spans="1:7">
      <c r="A104" s="1">
        <f t="shared" si="5"/>
        <v>39790</v>
      </c>
      <c r="B104" s="2" vm="199">
        <f ca="1"/>
        <v>34.11</v>
      </c>
      <c r="C104" s="2" vm="200">
        <f ca="1"/>
        <v>88.99</v>
      </c>
      <c r="D104" s="3">
        <v>8.238053356786873E-2</v>
      </c>
      <c r="E104" s="3">
        <v>-8.989774131924904E-3</v>
      </c>
      <c r="F104">
        <f t="shared" si="3"/>
        <v>101</v>
      </c>
      <c r="G104">
        <f t="shared" si="4"/>
        <v>38</v>
      </c>
    </row>
    <row r="105" spans="1:7">
      <c r="A105" s="1">
        <f t="shared" si="5"/>
        <v>39797</v>
      </c>
      <c r="B105" s="2" vm="201">
        <f ca="1"/>
        <v>36.92</v>
      </c>
      <c r="C105" s="2" vm="202">
        <f ca="1"/>
        <v>88.19</v>
      </c>
      <c r="D105" s="3">
        <v>-4.3878656554713014E-2</v>
      </c>
      <c r="E105" s="3">
        <v>-1.1679328722077347E-2</v>
      </c>
      <c r="F105">
        <f t="shared" si="3"/>
        <v>18</v>
      </c>
      <c r="G105">
        <f t="shared" si="4"/>
        <v>32</v>
      </c>
    </row>
    <row r="106" spans="1:7">
      <c r="A106" s="1">
        <f t="shared" si="5"/>
        <v>39804</v>
      </c>
      <c r="B106" s="2" vm="203">
        <f ca="1"/>
        <v>35.299999999999997</v>
      </c>
      <c r="C106" s="2" vm="204">
        <f ca="1"/>
        <v>87.16</v>
      </c>
      <c r="D106" s="3">
        <v>-2.8328611898011363E-4</v>
      </c>
      <c r="E106" s="3">
        <v>6.6544286369894415E-2</v>
      </c>
      <c r="F106">
        <f t="shared" si="3"/>
        <v>53</v>
      </c>
      <c r="G106">
        <f t="shared" si="4"/>
        <v>102</v>
      </c>
    </row>
    <row r="107" spans="1:7">
      <c r="A107" s="1">
        <f t="shared" si="5"/>
        <v>39811</v>
      </c>
      <c r="B107" s="2" vm="205">
        <f ca="1"/>
        <v>35.29</v>
      </c>
      <c r="C107" s="2" vm="206">
        <f ca="1"/>
        <v>92.96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23AA50227FA5418D86FC142C329EA7" ma:contentTypeVersion="11" ma:contentTypeDescription="Create a new document." ma:contentTypeScope="" ma:versionID="052168110c947213b10a6b6bbf3db317">
  <xsd:schema xmlns:xsd="http://www.w3.org/2001/XMLSchema" xmlns:xs="http://www.w3.org/2001/XMLSchema" xmlns:p="http://schemas.microsoft.com/office/2006/metadata/properties" xmlns:ns3="93c64462-c6e6-4725-86d3-29d6a3dc3fe4" xmlns:ns4="59cdc7af-29c2-4be0-a784-fe9b21021020" targetNamespace="http://schemas.microsoft.com/office/2006/metadata/properties" ma:root="true" ma:fieldsID="a9cd6cae93944a62495b67341f4a46e9" ns3:_="" ns4:_="">
    <xsd:import namespace="93c64462-c6e6-4725-86d3-29d6a3dc3fe4"/>
    <xsd:import namespace="59cdc7af-29c2-4be0-a784-fe9b21021020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c64462-c6e6-4725-86d3-29d6a3dc3fe4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cdc7af-29c2-4be0-a784-fe9b2102102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3c64462-c6e6-4725-86d3-29d6a3dc3fe4" xsi:nil="true"/>
  </documentManagement>
</p:properties>
</file>

<file path=customXml/itemProps1.xml><?xml version="1.0" encoding="utf-8"?>
<ds:datastoreItem xmlns:ds="http://schemas.openxmlformats.org/officeDocument/2006/customXml" ds:itemID="{5111A011-51EA-401E-ACB2-5837C63E2A8E}"/>
</file>

<file path=customXml/itemProps2.xml><?xml version="1.0" encoding="utf-8"?>
<ds:datastoreItem xmlns:ds="http://schemas.openxmlformats.org/officeDocument/2006/customXml" ds:itemID="{12410710-0A3E-4E69-97B2-18F3B05FEDD1}"/>
</file>

<file path=customXml/itemProps3.xml><?xml version="1.0" encoding="utf-8"?>
<ds:datastoreItem xmlns:ds="http://schemas.openxmlformats.org/officeDocument/2006/customXml" ds:itemID="{91DB1D5A-F2B9-447D-A403-CAB27B2911D3}"/>
</file>

<file path=docMetadata/LabelInfo.xml><?xml version="1.0" encoding="utf-8"?>
<clbl:labelList xmlns:clbl="http://schemas.microsoft.com/office/2020/mipLabelMetadata">
  <clbl:label id="{15ce9348-be2a-462b-8fc0-e1765a9b204a}" enabled="0" method="" siteId="{15ce9348-be2a-462b-8fc0-e1765a9b204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#ELIJAH CHOO QIHONG#</dc:creator>
  <cp:keywords/>
  <dc:description/>
  <cp:lastModifiedBy/>
  <cp:revision/>
  <dcterms:created xsi:type="dcterms:W3CDTF">2024-11-09T13:05:47Z</dcterms:created>
  <dcterms:modified xsi:type="dcterms:W3CDTF">2024-12-17T10:04:29Z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0x010100D723AA50227FA5418D86FC142C329EA7</vt:lpwstr>
  </property>
</Properties>
</file>